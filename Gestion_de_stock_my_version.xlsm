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slicers/slicer2.xml" ContentType="application/vnd.ms-excel.slicer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INSPIRON\Documents\FORCE_N\Tableau de bord - gestion de stock\"/>
    </mc:Choice>
  </mc:AlternateContent>
  <xr:revisionPtr revIDLastSave="0" documentId="13_ncr:1_{82D32C60-CBF7-454E-BE0B-800A245559DA}" xr6:coauthVersionLast="47" xr6:coauthVersionMax="47" xr10:uidLastSave="{00000000-0000-0000-0000-000000000000}"/>
  <bookViews>
    <workbookView xWindow="-96" yWindow="-96" windowWidth="23232" windowHeight="12432" xr2:uid="{00000000-000D-0000-FFFF-FFFF00000000}"/>
  </bookViews>
  <sheets>
    <sheet name="Tableau de bord" sheetId="13" r:id="rId1"/>
    <sheet name="Opérations" sheetId="8" r:id="rId2"/>
    <sheet name="Marchandises" sheetId="9" r:id="rId3"/>
    <sheet name="Entrées" sheetId="10" r:id="rId4"/>
    <sheet name="Sorties" sheetId="11" r:id="rId5"/>
    <sheet name="Inventaire " sheetId="12" r:id="rId6"/>
    <sheet name="Traitement" sheetId="14" r:id="rId7"/>
  </sheets>
  <definedNames>
    <definedName name="_xlcn.WorksheetConnection_Gestion_de_stock_my_version.xlsmlisteInventaire1" hidden="1">listeInventaire[]</definedName>
    <definedName name="_xlcn.WorksheetConnection_Gestiondestock.xlsmlesCategories1" hidden="1">lesCategories[]</definedName>
    <definedName name="_xlcn.WorksheetConnection_Gestiondestock.xlsmlesMois1" hidden="1">lesMois</definedName>
    <definedName name="_xlcn.WorksheetConnection_Gestiondestock.xlsmlesReferences1" hidden="1">lesReferences</definedName>
    <definedName name="_xlcn.WorksheetConnection_Gestiondestock.xlsmlisteAchats1" hidden="1">listeAchats[]</definedName>
    <definedName name="_xlcn.WorksheetConnection_Gestiondestock.xlsmlisteVentes1" hidden="1">listeVentes[]</definedName>
    <definedName name="Segment_Catégories">#N/A</definedName>
    <definedName name="Segment_Mois">#N/A</definedName>
    <definedName name="Segment_Références">#N/A</definedName>
  </definedNames>
  <calcPr calcId="181029"/>
  <pivotCaches>
    <pivotCache cacheId="695" r:id="rId8"/>
    <pivotCache cacheId="698" r:id="rId9"/>
    <pivotCache cacheId="701" r:id="rId10"/>
    <pivotCache cacheId="704" r:id="rId11"/>
    <pivotCache cacheId="707" r:id="rId12"/>
    <pivotCache cacheId="1042" r:id="rId13"/>
    <pivotCache cacheId="1045" r:id="rId14"/>
    <pivotCache cacheId="1049" r:id="rId15"/>
    <pivotCache cacheId="1412" r:id="rId16"/>
    <pivotCache cacheId="1430" r:id="rId17"/>
    <pivotCache cacheId="1433" r:id="rId18"/>
    <pivotCache cacheId="1436" r:id="rId19"/>
    <pivotCache cacheId="1439" r:id="rId20"/>
    <pivotCache cacheId="1442" r:id="rId21"/>
  </pivotCaches>
  <fileRecoveryPr repairLoad="1"/>
  <extLst>
    <ext xmlns:x14="http://schemas.microsoft.com/office/spreadsheetml/2009/9/main" uri="{876F7934-8845-4945-9796-88D515C7AA90}">
      <x14:pivotCaches>
        <pivotCache cacheId="11" r:id="rId22"/>
      </x14:pivotCaches>
    </ext>
    <ext xmlns:x14="http://schemas.microsoft.com/office/spreadsheetml/2009/9/main" uri="{BBE1A952-AA13-448e-AADC-164F8A28A991}">
      <x14:slicerCaches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listeInventaire" name="listeInventaire" connection="WorksheetConnection_Gestion_de_stock_my_version.xlsm!listeInventaire"/>
          <x15:modelTable id="listeVentes" name="listeVentes" connection="WorksheetConnection_Gestion de stock.xlsm!listeVentes"/>
          <x15:modelTable id="listeAchats" name="listeAchats" connection="WorksheetConnection_Gestion de stock.xlsm!listeAchats"/>
          <x15:modelTable id="lesReferences" name="lesReferences" connection="WorksheetConnection_Gestion de stock.xlsm!lesReferences"/>
          <x15:modelTable id="lesMois" name="lesMois" connection="WorksheetConnection_Gestion de stock.xlsm!lesMois"/>
          <x15:modelTable id="lesCategories" name="lesCategories" connection="WorksheetConnection_Gestion de stock.xlsm!lesCategories"/>
        </x15:modelTables>
        <x15:modelRelationships>
          <x15:modelRelationship fromTable="listeAchats" fromColumn="Catégorie" toTable="lesCategories" toColumn="Catégories"/>
          <x15:modelRelationship fromTable="listeAchats" fromColumn="Référence" toTable="lesReferences" toColumn="Références"/>
          <x15:modelRelationship fromTable="listeAchats" fromColumn="Date (mois)" toTable="lesMois" toColumn="Mois"/>
          <x15:modelRelationship fromTable="listeVentes" fromColumn="Catégorie" toTable="lesCategories" toColumn="Catégories"/>
          <x15:modelRelationship fromTable="listeVentes" fromColumn="Référence" toTable="lesReferences" toColumn="Références"/>
          <x15:modelRelationship fromTable="listeVentes" fromColumn="Date (mois)" toTable="lesMois" toColumn="Mois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listeAchats" columnName="Date" columnId="Date">
                <x16:calculatedTimeColumn columnName="Date (index des mois)" columnId="Date (index des mois)" contentType="monthsindex" isSelected="1"/>
                <x16:calculatedTimeColumn columnName="Date (mois)" columnId="Date (mois)" contentType="months" isSelected="1"/>
              </x16:modelTimeGrouping>
              <x16:modelTimeGrouping tableName="listeVentes" columnName="Date" columnId="Date">
                <x16:calculatedTimeColumn columnName="Date (index des mois)" columnId="Date (index des mois)" contentType="monthsindex" isSelected="1"/>
                <x16:calculatedTimeColumn columnName="Date (mois)" columnId="Date (mois)" contentType="months" isSelected="1"/>
              </x16:modelTimeGrouping>
            </x16:modelTimeGroupings>
          </ext>
        </x15:extLst>
      </x15:dataModel>
    </ext>
  </extLst>
</workbook>
</file>

<file path=xl/calcChain.xml><?xml version="1.0" encoding="utf-8"?>
<calcChain xmlns="http://schemas.openxmlformats.org/spreadsheetml/2006/main">
  <c r="E98" i="14" l="1"/>
  <c r="F98" i="14" s="1"/>
  <c r="E99" i="14"/>
  <c r="F99" i="14" s="1"/>
  <c r="E97" i="14"/>
  <c r="F97" i="14" s="1"/>
  <c r="F62" i="14"/>
  <c r="G62" i="14" s="1"/>
  <c r="F63" i="14"/>
  <c r="G63" i="14" s="1"/>
  <c r="F64" i="14"/>
  <c r="G64" i="14" s="1"/>
  <c r="F65" i="14"/>
  <c r="G65" i="14" s="1"/>
  <c r="F61" i="14"/>
  <c r="G61" i="14" s="1"/>
  <c r="F53" i="14"/>
  <c r="G53" i="14" s="1"/>
  <c r="F54" i="14"/>
  <c r="F55" i="14"/>
  <c r="F56" i="14"/>
  <c r="F57" i="14"/>
  <c r="K7" i="11"/>
  <c r="C7" i="11"/>
  <c r="K7" i="10"/>
  <c r="C7" i="10"/>
  <c r="K8" i="11"/>
  <c r="K8" i="10"/>
  <c r="G56" i="14" l="1"/>
  <c r="G57" i="14"/>
  <c r="G55" i="14"/>
  <c r="G54" i="14"/>
  <c r="K9" i="11"/>
  <c r="D6" i="12"/>
  <c r="E6" i="12"/>
  <c r="F6" i="12"/>
  <c r="G6" i="12"/>
  <c r="H6" i="12"/>
  <c r="I6" i="12"/>
  <c r="J6" i="12"/>
  <c r="D7" i="12"/>
  <c r="E7" i="12"/>
  <c r="F7" i="12"/>
  <c r="G7" i="12"/>
  <c r="H7" i="12"/>
  <c r="I7" i="12"/>
  <c r="J7" i="12"/>
  <c r="K6" i="12" l="1"/>
  <c r="K7" i="12"/>
  <c r="N7" i="12" s="1"/>
  <c r="E15" i="12"/>
  <c r="K10" i="11"/>
  <c r="N6" i="12" l="1"/>
  <c r="K11" i="11"/>
  <c r="K12" i="11"/>
  <c r="K13" i="11"/>
  <c r="K14" i="11"/>
  <c r="K15" i="11"/>
  <c r="K9" i="10"/>
  <c r="K10" i="10"/>
  <c r="K11" i="10"/>
  <c r="K12" i="10"/>
  <c r="K13" i="10"/>
  <c r="K16" i="11"/>
  <c r="K17" i="11"/>
  <c r="K18" i="11"/>
  <c r="K19" i="11"/>
  <c r="K20" i="11"/>
  <c r="K14" i="10"/>
  <c r="K15" i="10"/>
  <c r="K16" i="10"/>
  <c r="K17" i="10"/>
  <c r="K18" i="10"/>
  <c r="K21" i="11"/>
  <c r="K22" i="11"/>
  <c r="K23" i="11"/>
  <c r="K24" i="11"/>
  <c r="K25" i="11"/>
  <c r="K19" i="10"/>
  <c r="K20" i="10"/>
  <c r="K21" i="10"/>
  <c r="K22" i="10"/>
  <c r="K23" i="10"/>
  <c r="K26" i="11"/>
  <c r="K27" i="11"/>
  <c r="K28" i="11"/>
  <c r="K29" i="11"/>
  <c r="K30" i="11"/>
  <c r="K24" i="10"/>
  <c r="K25" i="10"/>
  <c r="K26" i="10"/>
  <c r="K27" i="10"/>
  <c r="K28" i="10"/>
  <c r="K31" i="11"/>
  <c r="K32" i="11"/>
  <c r="K33" i="11"/>
  <c r="K34" i="11"/>
  <c r="K35" i="11"/>
  <c r="K29" i="10"/>
  <c r="K30" i="10"/>
  <c r="K31" i="10"/>
  <c r="K32" i="10"/>
  <c r="K33" i="10"/>
  <c r="K36" i="11"/>
  <c r="K37" i="11"/>
  <c r="K38" i="11"/>
  <c r="K39" i="11"/>
  <c r="K40" i="11"/>
  <c r="K34" i="10"/>
  <c r="K35" i="10"/>
  <c r="K36" i="10"/>
  <c r="K37" i="10"/>
  <c r="K38" i="10"/>
  <c r="K41" i="11"/>
  <c r="K42" i="11"/>
  <c r="K43" i="11"/>
  <c r="K44" i="11"/>
  <c r="K39" i="10"/>
  <c r="K40" i="10"/>
  <c r="K41" i="10"/>
  <c r="K42" i="10"/>
  <c r="K43" i="10"/>
  <c r="K45" i="11"/>
  <c r="K46" i="11"/>
  <c r="K47" i="11"/>
  <c r="K48" i="11"/>
  <c r="K49" i="11"/>
  <c r="K50" i="11"/>
  <c r="K44" i="10"/>
  <c r="K45" i="10"/>
  <c r="K46" i="10"/>
  <c r="K47" i="10"/>
  <c r="K48" i="10"/>
  <c r="K51" i="11"/>
  <c r="K52" i="11"/>
  <c r="K53" i="11"/>
  <c r="K54" i="11"/>
  <c r="K55" i="11"/>
  <c r="K56" i="11"/>
  <c r="K57" i="11"/>
  <c r="K58" i="11"/>
  <c r="K59" i="11"/>
  <c r="K60" i="11"/>
  <c r="K61" i="11"/>
  <c r="K62" i="11"/>
  <c r="C62" i="11"/>
  <c r="C61" i="11" s="1"/>
  <c r="C60" i="11" s="1"/>
  <c r="C59" i="11" s="1"/>
  <c r="C58" i="11" s="1"/>
  <c r="C57" i="11" s="1"/>
  <c r="C56" i="11" s="1"/>
  <c r="C55" i="11" s="1"/>
  <c r="C54" i="11" s="1"/>
  <c r="C53" i="11" s="1"/>
  <c r="C52" i="11" s="1"/>
  <c r="C51" i="11" s="1"/>
  <c r="C50" i="11" s="1"/>
  <c r="C49" i="11" s="1"/>
  <c r="C48" i="11" s="1"/>
  <c r="C47" i="11" s="1"/>
  <c r="C46" i="11" s="1"/>
  <c r="C45" i="11" s="1"/>
  <c r="C44" i="11" s="1"/>
  <c r="C43" i="11" s="1"/>
  <c r="C42" i="11" s="1"/>
  <c r="C41" i="11" s="1"/>
  <c r="C40" i="11" s="1"/>
  <c r="C39" i="11" s="1"/>
  <c r="C38" i="11" s="1"/>
  <c r="C37" i="11" s="1"/>
  <c r="C36" i="11" s="1"/>
  <c r="C35" i="11" s="1"/>
  <c r="C34" i="11" s="1"/>
  <c r="C33" i="11" s="1"/>
  <c r="C32" i="11" s="1"/>
  <c r="C31" i="11" s="1"/>
  <c r="C30" i="11" s="1"/>
  <c r="C29" i="11" s="1"/>
  <c r="C28" i="11" s="1"/>
  <c r="C27" i="11" s="1"/>
  <c r="C26" i="11" s="1"/>
  <c r="C25" i="11" s="1"/>
  <c r="C24" i="11" s="1"/>
  <c r="C23" i="11" s="1"/>
  <c r="C22" i="11" s="1"/>
  <c r="C21" i="11" s="1"/>
  <c r="C20" i="11" s="1"/>
  <c r="C19" i="11" s="1"/>
  <c r="C18" i="11" s="1"/>
  <c r="C17" i="11" s="1"/>
  <c r="C16" i="11" s="1"/>
  <c r="C15" i="11" s="1"/>
  <c r="C14" i="11" s="1"/>
  <c r="C13" i="11" s="1"/>
  <c r="C12" i="11" s="1"/>
  <c r="C11" i="11" s="1"/>
  <c r="C10" i="11" s="1"/>
  <c r="C9" i="11" s="1"/>
  <c r="C8" i="11" s="1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C61" i="10"/>
  <c r="C60" i="10" s="1"/>
  <c r="C59" i="10" s="1"/>
  <c r="C58" i="10" s="1"/>
  <c r="C57" i="10" s="1"/>
  <c r="C56" i="10" s="1"/>
  <c r="C55" i="10" s="1"/>
  <c r="C54" i="10" s="1"/>
  <c r="C53" i="10" s="1"/>
  <c r="C52" i="10" s="1"/>
  <c r="C51" i="10" s="1"/>
  <c r="C50" i="10" s="1"/>
  <c r="C49" i="10" s="1"/>
  <c r="C48" i="10" s="1"/>
  <c r="C47" i="10" s="1"/>
  <c r="C46" i="10" s="1"/>
  <c r="C45" i="10" s="1"/>
  <c r="C44" i="10" s="1"/>
  <c r="C43" i="10" s="1"/>
  <c r="C42" i="10" s="1"/>
  <c r="C41" i="10" s="1"/>
  <c r="C40" i="10" s="1"/>
  <c r="C39" i="10" s="1"/>
  <c r="C38" i="10" s="1"/>
  <c r="C37" i="10" s="1"/>
  <c r="C36" i="10" s="1"/>
  <c r="C35" i="10" s="1"/>
  <c r="C34" i="10" s="1"/>
  <c r="C33" i="10" s="1"/>
  <c r="C32" i="10" s="1"/>
  <c r="C31" i="10" s="1"/>
  <c r="C30" i="10" s="1"/>
  <c r="C29" i="10" s="1"/>
  <c r="C28" i="10" s="1"/>
  <c r="C27" i="10" s="1"/>
  <c r="C26" i="10" s="1"/>
  <c r="C25" i="10" s="1"/>
  <c r="C24" i="10" s="1"/>
  <c r="C23" i="10" s="1"/>
  <c r="C22" i="10" s="1"/>
  <c r="C21" i="10" s="1"/>
  <c r="C20" i="10" s="1"/>
  <c r="C19" i="10" s="1"/>
  <c r="C18" i="10" s="1"/>
  <c r="C17" i="10" s="1"/>
  <c r="C16" i="10" s="1"/>
  <c r="C15" i="10" s="1"/>
  <c r="C14" i="10" s="1"/>
  <c r="C13" i="10" s="1"/>
  <c r="C12" i="10" s="1"/>
  <c r="C11" i="10" s="1"/>
  <c r="C10" i="10" s="1"/>
  <c r="C9" i="10" s="1"/>
  <c r="C8" i="10" s="1"/>
  <c r="J13" i="12"/>
  <c r="J14" i="12"/>
  <c r="J15" i="12"/>
  <c r="J16" i="12"/>
  <c r="I13" i="12"/>
  <c r="I14" i="12"/>
  <c r="I15" i="12"/>
  <c r="I16" i="12"/>
  <c r="H15" i="12"/>
  <c r="G15" i="12"/>
  <c r="F15" i="12"/>
  <c r="D15" i="12"/>
  <c r="J15" i="9"/>
  <c r="J16" i="9"/>
  <c r="J17" i="9"/>
  <c r="J18" i="9"/>
  <c r="J19" i="9"/>
  <c r="J20" i="9"/>
  <c r="J21" i="9"/>
  <c r="E8" i="12"/>
  <c r="H13" i="12"/>
  <c r="H14" i="12"/>
  <c r="H16" i="12"/>
  <c r="G13" i="12"/>
  <c r="G14" i="12"/>
  <c r="G16" i="12"/>
  <c r="F13" i="12"/>
  <c r="F14" i="12"/>
  <c r="F16" i="12"/>
  <c r="E13" i="12"/>
  <c r="E14" i="12"/>
  <c r="E16" i="12"/>
  <c r="D13" i="12"/>
  <c r="D14" i="12"/>
  <c r="D16" i="12"/>
  <c r="J8" i="12"/>
  <c r="J9" i="12"/>
  <c r="J10" i="12"/>
  <c r="J11" i="12"/>
  <c r="J12" i="12"/>
  <c r="I8" i="12"/>
  <c r="I9" i="12"/>
  <c r="I10" i="12"/>
  <c r="I11" i="12"/>
  <c r="I12" i="12"/>
  <c r="L7" i="12" l="1"/>
  <c r="M7" i="12" s="1"/>
  <c r="L6" i="12"/>
  <c r="M6" i="12" s="1"/>
  <c r="L14" i="12"/>
  <c r="L13" i="12"/>
  <c r="L12" i="12"/>
  <c r="L11" i="12"/>
  <c r="L16" i="12"/>
  <c r="L15" i="12"/>
  <c r="K15" i="12"/>
  <c r="K14" i="12"/>
  <c r="N14" i="12" s="1"/>
  <c r="K13" i="12"/>
  <c r="K16" i="12"/>
  <c r="H8" i="12"/>
  <c r="K8" i="12" s="1"/>
  <c r="H9" i="12"/>
  <c r="K9" i="12" s="1"/>
  <c r="H10" i="12"/>
  <c r="K10" i="12" s="1"/>
  <c r="H11" i="12"/>
  <c r="K11" i="12" s="1"/>
  <c r="H12" i="12"/>
  <c r="K12" i="12" s="1"/>
  <c r="G8" i="12"/>
  <c r="G9" i="12"/>
  <c r="G10" i="12"/>
  <c r="G11" i="12"/>
  <c r="G12" i="12"/>
  <c r="F8" i="12"/>
  <c r="F9" i="12"/>
  <c r="F10" i="12"/>
  <c r="F11" i="12"/>
  <c r="F12" i="12"/>
  <c r="E9" i="12"/>
  <c r="E10" i="12"/>
  <c r="E11" i="12"/>
  <c r="E12" i="12"/>
  <c r="D8" i="12"/>
  <c r="D9" i="12"/>
  <c r="D10" i="12"/>
  <c r="D11" i="12"/>
  <c r="D12" i="12"/>
  <c r="J22" i="9"/>
  <c r="J23" i="9"/>
  <c r="J24" i="9"/>
  <c r="J25" i="9"/>
  <c r="F9" i="9"/>
  <c r="K63" i="11"/>
  <c r="G10" i="8"/>
  <c r="L8" i="12"/>
  <c r="I16" i="8"/>
  <c r="G16" i="8"/>
  <c r="G13" i="8"/>
  <c r="M13" i="12" l="1"/>
  <c r="M12" i="12"/>
  <c r="M11" i="12"/>
  <c r="M16" i="12"/>
  <c r="M15" i="12"/>
  <c r="N13" i="12"/>
  <c r="N16" i="12"/>
  <c r="N15" i="12"/>
  <c r="M14" i="12"/>
  <c r="M8" i="12"/>
  <c r="N12" i="12"/>
  <c r="N11" i="12"/>
  <c r="N10" i="12"/>
  <c r="N9" i="12"/>
  <c r="N8" i="12"/>
  <c r="K66" i="11"/>
  <c r="K65" i="11"/>
  <c r="K64" i="11"/>
  <c r="K62" i="10"/>
  <c r="L9" i="12" s="1"/>
  <c r="M9" i="12" s="1"/>
  <c r="K63" i="10"/>
  <c r="L10" i="12" s="1"/>
  <c r="M10" i="1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01AD17C-C465-44C7-9779-EB44864E7325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6DA2BBE7-5FFF-42D0-96E9-6425BF6E9C6A}" name="WorksheetConnection_Gestion de stock.xlsm!lesCategories" type="102" refreshedVersion="6" minRefreshableVersion="5">
    <extLst>
      <ext xmlns:x15="http://schemas.microsoft.com/office/spreadsheetml/2010/11/main" uri="{DE250136-89BD-433C-8126-D09CA5730AF9}">
        <x15:connection id="lesCategories">
          <x15:rangePr sourceName="_xlcn.WorksheetConnection_Gestiondestock.xlsmlesCategories1"/>
        </x15:connection>
      </ext>
    </extLst>
  </connection>
  <connection id="3" xr16:uid="{9F90B5BD-2738-4FE8-A63F-417D428A9782}" name="WorksheetConnection_Gestion de stock.xlsm!lesMois" type="102" refreshedVersion="6" minRefreshableVersion="5">
    <extLst>
      <ext xmlns:x15="http://schemas.microsoft.com/office/spreadsheetml/2010/11/main" uri="{DE250136-89BD-433C-8126-D09CA5730AF9}">
        <x15:connection id="lesMois">
          <x15:rangePr sourceName="_xlcn.WorksheetConnection_Gestiondestock.xlsmlesMois1"/>
        </x15:connection>
      </ext>
    </extLst>
  </connection>
  <connection id="4" xr16:uid="{03528C0E-25B5-4CEF-AB08-B74E3CF84EB3}" name="WorksheetConnection_Gestion de stock.xlsm!lesReferences" type="102" refreshedVersion="6" minRefreshableVersion="5">
    <extLst>
      <ext xmlns:x15="http://schemas.microsoft.com/office/spreadsheetml/2010/11/main" uri="{DE250136-89BD-433C-8126-D09CA5730AF9}">
        <x15:connection id="lesReferences">
          <x15:rangePr sourceName="_xlcn.WorksheetConnection_Gestiondestock.xlsmlesReferences1"/>
        </x15:connection>
      </ext>
    </extLst>
  </connection>
  <connection id="5" xr16:uid="{D4278434-B34D-4E4F-B26B-AEC93FAAAA41}" name="WorksheetConnection_Gestion de stock.xlsm!listeAchats" type="102" refreshedVersion="6" minRefreshableVersion="5">
    <extLst>
      <ext xmlns:x15="http://schemas.microsoft.com/office/spreadsheetml/2010/11/main" uri="{DE250136-89BD-433C-8126-D09CA5730AF9}">
        <x15:connection id="listeAchats">
          <x15:rangePr sourceName="_xlcn.WorksheetConnection_Gestiondestock.xlsmlisteAchats1"/>
        </x15:connection>
      </ext>
    </extLst>
  </connection>
  <connection id="6" xr16:uid="{8A4DF0C2-07BF-439C-9DCF-BCAACFA7D594}" name="WorksheetConnection_Gestion de stock.xlsm!listeVentes" type="102" refreshedVersion="6" minRefreshableVersion="5">
    <extLst>
      <ext xmlns:x15="http://schemas.microsoft.com/office/spreadsheetml/2010/11/main" uri="{DE250136-89BD-433C-8126-D09CA5730AF9}">
        <x15:connection id="listeVentes">
          <x15:rangePr sourceName="_xlcn.WorksheetConnection_Gestiondestock.xlsmlisteVentes1"/>
        </x15:connection>
      </ext>
    </extLst>
  </connection>
  <connection id="7" xr16:uid="{2E331AC2-7170-4B48-A737-565FF2B7D6DF}" name="WorksheetConnection_Gestion_de_stock_my_version.xlsm!listeInventaire" type="102" refreshedVersion="8" minRefreshableVersion="5">
    <extLst>
      <ext xmlns:x15="http://schemas.microsoft.com/office/spreadsheetml/2010/11/main" uri="{DE250136-89BD-433C-8126-D09CA5730AF9}">
        <x15:connection id="listeInventaire" autoDelete="1">
          <x15:rangePr sourceName="_xlcn.WorksheetConnection_Gestion_de_stock_my_version.xlsmlisteInventaire1"/>
        </x15:connection>
      </ext>
    </extLst>
  </connection>
</connections>
</file>

<file path=xl/sharedStrings.xml><?xml version="1.0" encoding="utf-8"?>
<sst xmlns="http://schemas.openxmlformats.org/spreadsheetml/2006/main" count="722" uniqueCount="103">
  <si>
    <t>Désignation</t>
  </si>
  <si>
    <t>Quantité</t>
  </si>
  <si>
    <t>Date</t>
  </si>
  <si>
    <t>Seuil d'alerte</t>
  </si>
  <si>
    <t>Valeur</t>
  </si>
  <si>
    <t>Prix de vente</t>
  </si>
  <si>
    <t>Total</t>
  </si>
  <si>
    <t>Numéro</t>
  </si>
  <si>
    <t>Unité</t>
  </si>
  <si>
    <t>Prix unitaire</t>
  </si>
  <si>
    <t>Stock initial</t>
  </si>
  <si>
    <t>Stock final</t>
  </si>
  <si>
    <t>Entrées</t>
  </si>
  <si>
    <t>Sorties</t>
  </si>
  <si>
    <t>Référence</t>
  </si>
  <si>
    <t>Catégorie</t>
  </si>
  <si>
    <t>Statue</t>
  </si>
  <si>
    <r>
      <t xml:space="preserve">Nouvelle </t>
    </r>
    <r>
      <rPr>
        <b/>
        <sz val="14"/>
        <color rgb="FF51459E"/>
        <rFont val="Gilroy-Bold"/>
      </rPr>
      <t>opération</t>
    </r>
  </si>
  <si>
    <t>Oreo</t>
  </si>
  <si>
    <t xml:space="preserve">Biscuits </t>
  </si>
  <si>
    <t xml:space="preserve">1 unité </t>
  </si>
  <si>
    <t>Pack de 10 unités</t>
  </si>
  <si>
    <t>Pack de 20 unités</t>
  </si>
  <si>
    <t xml:space="preserve"> Total</t>
  </si>
  <si>
    <t xml:space="preserve">Unité </t>
  </si>
  <si>
    <t xml:space="preserve"> Seuil d'alerte</t>
  </si>
  <si>
    <t xml:space="preserve"> Stock initial</t>
  </si>
  <si>
    <t xml:space="preserve"> Prix unitaire</t>
  </si>
  <si>
    <t>Veuillez saisir les détaille de l'opération de vente ou d'achat</t>
  </si>
  <si>
    <t xml:space="preserve">Catégorie </t>
  </si>
  <si>
    <t xml:space="preserve">Désignation </t>
  </si>
  <si>
    <t xml:space="preserve">Référence  </t>
  </si>
  <si>
    <t>1 unité</t>
  </si>
  <si>
    <t xml:space="preserve">Quantité </t>
  </si>
  <si>
    <r>
      <rPr>
        <b/>
        <sz val="13"/>
        <color theme="1" tint="4.9989318521683403E-2"/>
        <rFont val="Gilroy-Bold"/>
      </rPr>
      <t>Détails d'</t>
    </r>
    <r>
      <rPr>
        <b/>
        <sz val="13"/>
        <color rgb="FF51459E"/>
        <rFont val="Gilroy-Bold"/>
      </rPr>
      <t>inventaire</t>
    </r>
  </si>
  <si>
    <t>C1</t>
  </si>
  <si>
    <t>C2</t>
  </si>
  <si>
    <t>CUMP</t>
  </si>
  <si>
    <t>E1</t>
  </si>
  <si>
    <t>E2</t>
  </si>
  <si>
    <t>E3</t>
  </si>
  <si>
    <t>E4</t>
  </si>
  <si>
    <r>
      <t xml:space="preserve">Nouvelle </t>
    </r>
    <r>
      <rPr>
        <b/>
        <sz val="14"/>
        <color rgb="FF51459E"/>
        <rFont val="Gilroy-Bold"/>
      </rPr>
      <t>marchandise</t>
    </r>
    <r>
      <rPr>
        <b/>
        <sz val="14"/>
        <color theme="1"/>
        <rFont val="Gilroy-Bold"/>
      </rPr>
      <t xml:space="preserve"> </t>
    </r>
  </si>
  <si>
    <r>
      <t xml:space="preserve">Liste des </t>
    </r>
    <r>
      <rPr>
        <b/>
        <sz val="14"/>
        <color rgb="FF51459E"/>
        <rFont val="Gilroy-Bold"/>
      </rPr>
      <t>marchandises</t>
    </r>
    <r>
      <rPr>
        <b/>
        <sz val="14"/>
        <color theme="1"/>
        <rFont val="Gilroy-Bold"/>
      </rPr>
      <t xml:space="preserve"> </t>
    </r>
    <r>
      <rPr>
        <b/>
        <sz val="14"/>
        <color rgb="FF51459E"/>
        <rFont val="Gilroy-Bold"/>
      </rPr>
      <t>:</t>
    </r>
  </si>
  <si>
    <r>
      <t xml:space="preserve">Liste des </t>
    </r>
    <r>
      <rPr>
        <b/>
        <sz val="14"/>
        <color rgb="FF51459E"/>
        <rFont val="Gilroy-Bold"/>
      </rPr>
      <t>entrées</t>
    </r>
    <r>
      <rPr>
        <b/>
        <sz val="14"/>
        <color theme="1"/>
        <rFont val="Gilroy-Bold"/>
      </rPr>
      <t xml:space="preserve"> </t>
    </r>
    <r>
      <rPr>
        <b/>
        <sz val="14"/>
        <color rgb="FF51459E"/>
        <rFont val="Gilroy-Bold"/>
      </rPr>
      <t>:</t>
    </r>
  </si>
  <si>
    <r>
      <t xml:space="preserve">Liste des </t>
    </r>
    <r>
      <rPr>
        <b/>
        <sz val="14"/>
        <color rgb="FF51459E"/>
        <rFont val="Gilroy-Bold"/>
      </rPr>
      <t>sorties</t>
    </r>
    <r>
      <rPr>
        <b/>
        <sz val="14"/>
        <color theme="1"/>
        <rFont val="Gilroy-Bold"/>
      </rPr>
      <t xml:space="preserve"> </t>
    </r>
    <r>
      <rPr>
        <b/>
        <sz val="14"/>
        <color rgb="FF51459E"/>
        <rFont val="Gilroy-Bold"/>
      </rPr>
      <t>:</t>
    </r>
  </si>
  <si>
    <t>Détails de toutes les transactions de sortie</t>
  </si>
  <si>
    <t>Détails de toutes les transactions d'entrée</t>
  </si>
  <si>
    <t>Veuillez saisir les informations de chaque marchandise</t>
  </si>
  <si>
    <t xml:space="preserve">PLAYSTATION PS5 </t>
  </si>
  <si>
    <t>NINTENDO SWITCH</t>
  </si>
  <si>
    <t>GOOGLE PIXEL 5</t>
  </si>
  <si>
    <t>S1</t>
  </si>
  <si>
    <t>S2</t>
  </si>
  <si>
    <t>B1</t>
  </si>
  <si>
    <t>B2</t>
  </si>
  <si>
    <t>B3</t>
  </si>
  <si>
    <t>Coût d'achat</t>
  </si>
  <si>
    <t>SmartPhone</t>
  </si>
  <si>
    <t>Consoles</t>
  </si>
  <si>
    <t>Electro</t>
  </si>
  <si>
    <t>Cuisinière CANDY</t>
  </si>
  <si>
    <t>Cuisinière SIERA</t>
  </si>
  <si>
    <t>Réfrigérateur SIERA</t>
  </si>
  <si>
    <t>Réfrigérateur WHIRLPOOL</t>
  </si>
  <si>
    <t xml:space="preserve">Réfrigérateur WHIRLPOOL </t>
  </si>
  <si>
    <t>IPHONE 13 PRO</t>
  </si>
  <si>
    <t>Somme de Stock final</t>
  </si>
  <si>
    <t>Somme de Valeur</t>
  </si>
  <si>
    <t>Somme de Quantité</t>
  </si>
  <si>
    <t>Somme de Total</t>
  </si>
  <si>
    <t>Catégories</t>
  </si>
  <si>
    <t>Références</t>
  </si>
  <si>
    <t>Mois</t>
  </si>
  <si>
    <t>Janvier</t>
  </si>
  <si>
    <t>Fevrier</t>
  </si>
  <si>
    <t>Mars</t>
  </si>
  <si>
    <t>Avril</t>
  </si>
  <si>
    <t>Mai</t>
  </si>
  <si>
    <t>Biscuits</t>
  </si>
  <si>
    <t>Total général</t>
  </si>
  <si>
    <t>Somme des Entrées</t>
  </si>
  <si>
    <t>Somme des Sorties</t>
  </si>
  <si>
    <t>Quantité Entrée par Catégorie</t>
  </si>
  <si>
    <t>Quantité Sortie par Catégorie</t>
  </si>
  <si>
    <t>Valeurs Sortie par Catégorie</t>
  </si>
  <si>
    <t>Valeur Entrée par Catégorie</t>
  </si>
  <si>
    <t>Valeurs Stock par Catégorie</t>
  </si>
  <si>
    <t>Quantité Stock par Catégorie</t>
  </si>
  <si>
    <t>janv</t>
  </si>
  <si>
    <t>févr</t>
  </si>
  <si>
    <t>mars</t>
  </si>
  <si>
    <t>avr</t>
  </si>
  <si>
    <t>mai</t>
  </si>
  <si>
    <t>Quantité par mois (Entrée)</t>
  </si>
  <si>
    <t>MAX</t>
  </si>
  <si>
    <t>Étiquettes de lignes</t>
  </si>
  <si>
    <t>Somme de Total2</t>
  </si>
  <si>
    <t>TotalValeur (Entrée)</t>
  </si>
  <si>
    <t>TotalValeur (Sortie)</t>
  </si>
  <si>
    <t>TOP 3 Produits vendus</t>
  </si>
  <si>
    <t>(Plusieurs éléments)</t>
  </si>
  <si>
    <t>Quantité par mois (Sortie)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</si>
</sst>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-* #,##0.00\ [$€-40C]_-;\-* #,##0.00\ [$€-40C]_-;_-* &quot;-&quot;??\ [$€-40C]_-;_-@_-"/>
    <numFmt numFmtId="165" formatCode="_-* #,##0\ [$€-40C]_-;\-* #,##0\ [$€-40C]_-;_-* &quot;-&quot;??\ [$€-40C]_-;_-@_-"/>
  </numFmts>
  <fonts count="2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51459E"/>
      <name val="Calibri"/>
      <family val="2"/>
      <scheme val="minor"/>
    </font>
    <font>
      <sz val="11"/>
      <color rgb="FFFAFAFA"/>
      <name val="Calibri"/>
      <family val="2"/>
      <scheme val="minor"/>
    </font>
    <font>
      <b/>
      <sz val="11"/>
      <color theme="1"/>
      <name val="Open Sans"/>
      <family val="2"/>
    </font>
    <font>
      <b/>
      <sz val="14"/>
      <color theme="1"/>
      <name val="Gilroy-Bold"/>
    </font>
    <font>
      <b/>
      <sz val="14"/>
      <color rgb="FF51459E"/>
      <name val="Gilroy-Bold"/>
    </font>
    <font>
      <b/>
      <sz val="10"/>
      <color theme="1"/>
      <name val="Gilroy-SemiBold"/>
    </font>
    <font>
      <sz val="10"/>
      <color theme="1" tint="4.9989318521683403E-2"/>
      <name val="Gilroy-SemiBold"/>
    </font>
    <font>
      <sz val="8"/>
      <color theme="1"/>
      <name val="Gilroy-Medium"/>
    </font>
    <font>
      <b/>
      <sz val="10"/>
      <color theme="1" tint="4.9989318521683403E-2"/>
      <name val="Gilroy-SemiBold"/>
    </font>
    <font>
      <sz val="10"/>
      <color rgb="FF51459E"/>
      <name val="Gilroy-SemiBold"/>
    </font>
    <font>
      <sz val="11"/>
      <color rgb="FF51459E"/>
      <name val="Product Sans"/>
      <family val="2"/>
    </font>
    <font>
      <sz val="8"/>
      <name val="Calibri"/>
      <family val="2"/>
      <scheme val="minor"/>
    </font>
    <font>
      <b/>
      <sz val="12"/>
      <color theme="1"/>
      <name val="Gilroy-Bold"/>
    </font>
    <font>
      <b/>
      <sz val="13"/>
      <color theme="1"/>
      <name val="Gilroy-Bold"/>
    </font>
    <font>
      <b/>
      <sz val="13"/>
      <color rgb="FF51459E"/>
      <name val="Gilroy-Bold"/>
    </font>
    <font>
      <b/>
      <sz val="13"/>
      <color theme="1" tint="4.9989318521683403E-2"/>
      <name val="Gilroy-Bold"/>
    </font>
    <font>
      <sz val="9"/>
      <color theme="1" tint="4.9989318521683403E-2"/>
      <name val="Gilroy-Medium"/>
    </font>
    <font>
      <sz val="9"/>
      <color theme="1"/>
      <name val="Gilroy-SemiBold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AFAF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51459E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2E9FF"/>
        <bgColor indexed="64"/>
      </patternFill>
    </fill>
  </fills>
  <borders count="7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3" fillId="4" borderId="0" xfId="0" applyFont="1" applyFill="1"/>
    <xf numFmtId="0" fontId="0" fillId="4" borderId="0" xfId="0" applyFill="1"/>
    <xf numFmtId="0" fontId="4" fillId="2" borderId="0" xfId="0" applyFont="1" applyFill="1"/>
    <xf numFmtId="0" fontId="3" fillId="3" borderId="0" xfId="0" applyFont="1" applyFill="1"/>
    <xf numFmtId="0" fontId="5" fillId="3" borderId="0" xfId="0" applyFont="1" applyFill="1" applyAlignment="1">
      <alignment horizontal="left" vertical="center"/>
    </xf>
    <xf numFmtId="0" fontId="6" fillId="3" borderId="0" xfId="0" applyFont="1" applyFill="1" applyAlignment="1">
      <alignment horizontal="left"/>
    </xf>
    <xf numFmtId="0" fontId="9" fillId="2" borderId="0" xfId="0" applyFont="1" applyFill="1" applyAlignment="1">
      <alignment horizontal="left" vertical="center"/>
    </xf>
    <xf numFmtId="0" fontId="10" fillId="3" borderId="0" xfId="0" applyFont="1" applyFill="1"/>
    <xf numFmtId="0" fontId="12" fillId="3" borderId="0" xfId="0" applyFont="1" applyFill="1" applyAlignment="1">
      <alignment vertical="center"/>
    </xf>
    <xf numFmtId="164" fontId="12" fillId="3" borderId="0" xfId="0" applyNumberFormat="1" applyFont="1" applyFill="1" applyAlignment="1">
      <alignment vertical="center"/>
    </xf>
    <xf numFmtId="0" fontId="12" fillId="3" borderId="0" xfId="0" applyFont="1" applyFill="1" applyAlignment="1">
      <alignment horizontal="center" vertical="center"/>
    </xf>
    <xf numFmtId="14" fontId="12" fillId="3" borderId="0" xfId="0" applyNumberFormat="1" applyFont="1" applyFill="1" applyAlignment="1">
      <alignment horizontal="center" vertical="center"/>
    </xf>
    <xf numFmtId="0" fontId="9" fillId="2" borderId="2" xfId="0" applyFont="1" applyFill="1" applyBorder="1" applyAlignment="1">
      <alignment horizontal="left" vertical="center"/>
    </xf>
    <xf numFmtId="0" fontId="9" fillId="2" borderId="3" xfId="0" applyFont="1" applyFill="1" applyBorder="1" applyAlignment="1">
      <alignment horizontal="left" vertical="center"/>
    </xf>
    <xf numFmtId="0" fontId="9" fillId="2" borderId="4" xfId="0" applyFont="1" applyFill="1" applyBorder="1" applyAlignment="1">
      <alignment horizontal="left" vertical="center"/>
    </xf>
    <xf numFmtId="0" fontId="12" fillId="3" borderId="1" xfId="0" applyFont="1" applyFill="1" applyBorder="1" applyAlignment="1">
      <alignment vertical="center"/>
    </xf>
    <xf numFmtId="164" fontId="12" fillId="3" borderId="1" xfId="0" applyNumberFormat="1" applyFont="1" applyFill="1" applyBorder="1" applyAlignment="1">
      <alignment vertical="center"/>
    </xf>
    <xf numFmtId="0" fontId="12" fillId="3" borderId="1" xfId="0" applyFont="1" applyFill="1" applyBorder="1" applyAlignment="1">
      <alignment horizontal="center" vertical="center"/>
    </xf>
    <xf numFmtId="0" fontId="15" fillId="3" borderId="0" xfId="0" applyFont="1" applyFill="1"/>
    <xf numFmtId="0" fontId="19" fillId="3" borderId="0" xfId="0" applyFont="1" applyFill="1"/>
    <xf numFmtId="0" fontId="12" fillId="3" borderId="0" xfId="0" applyFont="1" applyFill="1" applyAlignment="1">
      <alignment horizontal="left" vertical="center" indent="1"/>
    </xf>
    <xf numFmtId="0" fontId="11" fillId="3" borderId="0" xfId="0" applyFont="1" applyFill="1" applyAlignment="1">
      <alignment horizontal="right" vertical="center" indent="1"/>
    </xf>
    <xf numFmtId="0" fontId="8" fillId="3" borderId="0" xfId="0" applyFont="1" applyFill="1" applyAlignment="1">
      <alignment horizontal="right" vertical="center" indent="1"/>
    </xf>
    <xf numFmtId="0" fontId="9" fillId="3" borderId="0" xfId="0" applyFont="1" applyFill="1" applyAlignment="1">
      <alignment horizontal="right" vertical="center" indent="1"/>
    </xf>
    <xf numFmtId="0" fontId="13" fillId="2" borderId="0" xfId="0" applyFont="1" applyFill="1" applyAlignment="1">
      <alignment horizontal="left" vertical="center"/>
    </xf>
    <xf numFmtId="0" fontId="13" fillId="2" borderId="0" xfId="0" applyFont="1" applyFill="1" applyAlignment="1">
      <alignment horizontal="center" vertical="center"/>
    </xf>
    <xf numFmtId="164" fontId="13" fillId="2" borderId="0" xfId="0" applyNumberFormat="1" applyFont="1" applyFill="1" applyAlignment="1">
      <alignment horizontal="center" vertical="center"/>
    </xf>
    <xf numFmtId="14" fontId="13" fillId="2" borderId="0" xfId="0" applyNumberFormat="1" applyFont="1" applyFill="1" applyAlignment="1">
      <alignment horizontal="left" vertical="center"/>
    </xf>
    <xf numFmtId="0" fontId="20" fillId="3" borderId="0" xfId="0" applyFont="1" applyFill="1" applyAlignment="1">
      <alignment horizontal="left" vertical="center"/>
    </xf>
    <xf numFmtId="164" fontId="13" fillId="2" borderId="0" xfId="0" applyNumberFormat="1" applyFont="1" applyFill="1" applyAlignment="1">
      <alignment horizontal="left" vertical="center"/>
    </xf>
    <xf numFmtId="14" fontId="0" fillId="3" borderId="0" xfId="0" applyNumberFormat="1" applyFill="1"/>
    <xf numFmtId="0" fontId="12" fillId="3" borderId="0" xfId="0" applyFont="1" applyFill="1" applyAlignment="1">
      <alignment horizontal="left" vertical="center"/>
    </xf>
    <xf numFmtId="164" fontId="12" fillId="3" borderId="0" xfId="0" applyNumberFormat="1" applyFont="1" applyFill="1" applyAlignment="1">
      <alignment horizontal="center" vertical="center"/>
    </xf>
    <xf numFmtId="0" fontId="12" fillId="3" borderId="0" xfId="0" applyFont="1" applyFill="1" applyAlignment="1">
      <alignment horizontal="right" vertical="center"/>
    </xf>
    <xf numFmtId="0" fontId="3" fillId="4" borderId="0" xfId="0" applyFont="1" applyFill="1" applyAlignment="1">
      <alignment horizontal="right"/>
    </xf>
    <xf numFmtId="0" fontId="0" fillId="3" borderId="0" xfId="0" applyFill="1" applyAlignment="1">
      <alignment horizontal="right"/>
    </xf>
    <xf numFmtId="0" fontId="0" fillId="2" borderId="0" xfId="0" applyFill="1" applyAlignment="1">
      <alignment horizontal="right"/>
    </xf>
    <xf numFmtId="164" fontId="12" fillId="3" borderId="0" xfId="0" applyNumberFormat="1" applyFont="1" applyFill="1" applyAlignment="1">
      <alignment horizontal="left" vertical="center"/>
    </xf>
    <xf numFmtId="0" fontId="13" fillId="2" borderId="5" xfId="0" applyFont="1" applyFill="1" applyBorder="1" applyAlignment="1">
      <alignment vertical="center"/>
    </xf>
    <xf numFmtId="164" fontId="13" fillId="2" borderId="5" xfId="0" applyNumberFormat="1" applyFont="1" applyFill="1" applyBorder="1" applyAlignment="1">
      <alignment vertical="center"/>
    </xf>
    <xf numFmtId="164" fontId="13" fillId="2" borderId="5" xfId="1" applyNumberFormat="1" applyFont="1" applyFill="1" applyBorder="1" applyAlignment="1">
      <alignment vertical="center"/>
    </xf>
    <xf numFmtId="164" fontId="0" fillId="2" borderId="0" xfId="0" applyNumberFormat="1" applyFill="1"/>
    <xf numFmtId="0" fontId="12" fillId="3" borderId="6" xfId="0" applyFont="1" applyFill="1" applyBorder="1" applyAlignment="1">
      <alignment horizontal="left" vertical="center" indent="1"/>
    </xf>
    <xf numFmtId="0" fontId="0" fillId="5" borderId="0" xfId="0" applyFill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0" fontId="10" fillId="3" borderId="0" xfId="0" applyFont="1" applyFill="1" applyAlignment="1">
      <alignment horizontal="left"/>
    </xf>
    <xf numFmtId="0" fontId="6" fillId="3" borderId="0" xfId="0" applyFont="1" applyFill="1" applyAlignment="1">
      <alignment horizontal="left"/>
    </xf>
    <xf numFmtId="0" fontId="16" fillId="3" borderId="0" xfId="0" applyFont="1" applyFill="1" applyAlignment="1">
      <alignment horizontal="left"/>
    </xf>
    <xf numFmtId="0" fontId="19" fillId="3" borderId="0" xfId="0" applyFont="1" applyFill="1" applyAlignment="1">
      <alignment horizontal="left"/>
    </xf>
    <xf numFmtId="0" fontId="16" fillId="3" borderId="0" xfId="0" applyFont="1" applyFill="1" applyAlignment="1">
      <alignment horizontal="left" vertical="center"/>
    </xf>
    <xf numFmtId="0" fontId="0" fillId="0" borderId="0" xfId="0" applyNumberFormat="1"/>
    <xf numFmtId="14" fontId="21" fillId="6" borderId="0" xfId="0" applyNumberFormat="1" applyFont="1" applyFill="1"/>
    <xf numFmtId="14" fontId="21" fillId="3" borderId="0" xfId="0" applyNumberFormat="1" applyFont="1" applyFill="1"/>
    <xf numFmtId="14" fontId="0" fillId="5" borderId="0" xfId="0" applyNumberFormat="1" applyFill="1"/>
  </cellXfs>
  <cellStyles count="2">
    <cellStyle name="Normal" xfId="0" builtinId="0"/>
    <cellStyle name="Pourcentage" xfId="1" builtinId="5"/>
  </cellStyles>
  <dxfs count="65">
    <dxf>
      <numFmt numFmtId="165" formatCode="_-* #,##0\ [$€-40C]_-;\-* #,##0\ [$€-40C]_-;_-* &quot;-&quot;??\ [$€-40C]_-;_-@_-"/>
    </dxf>
    <dxf>
      <font>
        <color rgb="FFFF0000"/>
      </font>
    </dxf>
    <dxf>
      <font>
        <color rgb="FF01B300"/>
      </font>
    </dxf>
    <dxf>
      <font>
        <color rgb="FFFF7F00"/>
      </font>
    </dxf>
    <dxf>
      <numFmt numFmtId="165" formatCode="_-* #,##0\ [$€-40C]_-;\-* #,##0\ [$€-40C]_-;_-* &quot;-&quot;??\ [$€-40C]_-;_-@_-"/>
    </dxf>
    <dxf>
      <numFmt numFmtId="165" formatCode="_-* #,##0\ [$€-40C]_-;\-* #,##0\ [$€-40C]_-;_-* &quot;-&quot;??\ [$€-40C]_-;_-@_-"/>
    </dxf>
    <dxf>
      <font>
        <strike val="0"/>
        <outline val="0"/>
        <shadow val="0"/>
        <u val="none"/>
        <vertAlign val="baseline"/>
        <sz val="10"/>
        <color rgb="FF51459E"/>
        <name val="Gilroy-SemiBold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border>
        <top style="thin">
          <color theme="1"/>
        </top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border>
        <bottom style="thin">
          <color theme="1"/>
        </bottom>
      </border>
    </dxf>
    <dxf>
      <font>
        <strike val="0"/>
        <outline val="0"/>
        <shadow val="0"/>
        <u val="none"/>
        <vertAlign val="baseline"/>
        <sz val="11"/>
        <color rgb="FF51459E"/>
        <name val="Calibri"/>
        <family val="2"/>
        <scheme val="minor"/>
      </font>
      <fill>
        <patternFill patternType="solid">
          <fgColor indexed="64"/>
          <bgColor rgb="FFFAFAFA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/>
        <bottom/>
        <vertical style="thin">
          <color theme="1"/>
        </vertical>
        <horizontal style="thin">
          <color theme="1"/>
        </horizontal>
      </border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51459E"/>
        <name val="Calibri"/>
        <family val="2"/>
        <scheme val="minor"/>
      </font>
      <fill>
        <patternFill patternType="solid">
          <fgColor indexed="64"/>
          <bgColor rgb="FFFAFAFA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51459E"/>
        <name val="Calibri"/>
        <family val="2"/>
        <scheme val="minor"/>
      </font>
      <fill>
        <patternFill patternType="solid">
          <fgColor indexed="64"/>
          <bgColor rgb="FFFAFAFA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51459E"/>
      </font>
      <numFmt numFmtId="164" formatCode="_-* #,##0.00\ [$€-40C]_-;\-* #,##0.00\ [$€-40C]_-;_-* &quot;-&quot;??\ [$€-40C]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Gilroy-SemiBold"/>
        <scheme val="none"/>
      </font>
      <numFmt numFmtId="164" formatCode="_-* #,##0.00\ [$€-40C]_-;\-* #,##0.00\ [$€-40C]_-;_-* &quot;-&quot;??\ [$€-40C]_-;_-@_-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Gilroy-SemiBold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51459E"/>
        <name val="Gilroy-SemiBold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rgb="FF51459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51459E"/>
        <name val="Calibri"/>
        <family val="2"/>
        <scheme val="minor"/>
      </font>
      <fill>
        <patternFill patternType="solid">
          <fgColor indexed="64"/>
          <bgColor rgb="FFFAFAFA"/>
        </patternFill>
      </fill>
      <alignment horizontal="left" vertical="center" textRotation="0" wrapText="0" indent="0" justifyLastLine="0" shrinkToFit="0" readingOrder="0"/>
    </dxf>
    <dxf>
      <numFmt numFmtId="164" formatCode="_-* #,##0.00\ [$€-40C]_-;\-* #,##0.00\ [$€-40C]_-;_-* &quot;-&quot;??\ [$€-40C]_-;_-@_-"/>
    </dxf>
    <dxf>
      <numFmt numFmtId="165" formatCode="_-* #,##0\ [$€-40C]_-;\-* #,##0\ [$€-40C]_-;_-* &quot;-&quot;??\ [$€-40C]_-;_-@_-"/>
    </dxf>
    <dxf>
      <numFmt numFmtId="164" formatCode="_-* #,##0.00\ [$€-40C]_-;\-* #,##0.00\ [$€-40C]_-;_-* &quot;-&quot;??\ [$€-40C]_-;_-@_-"/>
    </dxf>
    <dxf>
      <numFmt numFmtId="165" formatCode="_-* #,##0\ [$€-40C]_-;\-* #,##0\ [$€-40C]_-;_-* &quot;-&quot;??\ [$€-40C]_-;_-@_-"/>
    </dxf>
    <dxf>
      <numFmt numFmtId="164" formatCode="_-* #,##0.00\ [$€-40C]_-;\-* #,##0.00\ [$€-40C]_-;_-* &quot;-&quot;??\ [$€-40C]_-;_-@_-"/>
    </dxf>
    <dxf>
      <numFmt numFmtId="165" formatCode="_-* #,##0\ [$€-40C]_-;\-* #,##0\ [$€-40C]_-;_-* &quot;-&quot;??\ [$€-40C]_-;_-@_-"/>
    </dxf>
    <dxf>
      <font>
        <b/>
        <i val="0"/>
        <sz val="11"/>
        <color theme="1"/>
        <name val="Product Sans"/>
        <family val="2"/>
        <scheme val="none"/>
      </font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z val="11"/>
        <color theme="1"/>
        <name val="Product Sans"/>
        <family val="2"/>
        <scheme val="none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style 1" pivot="0" table="0" count="10" xr9:uid="{68B2A081-750C-4C21-A5DE-8D839AE1BF58}">
      <tableStyleElement type="wholeTable" dxfId="64"/>
      <tableStyleElement type="headerRow" dxfId="63"/>
    </tableStyle>
    <tableStyle name="Style2" pivot="0" table="0" count="10" xr9:uid="{7F652A90-6AE8-464D-AB54-7DFB6859E687}">
      <tableStyleElement type="wholeTable" dxfId="62"/>
      <tableStyleElement type="headerRow" dxfId="61"/>
    </tableStyle>
  </tableStyles>
  <colors>
    <mruColors>
      <color rgb="FFF2E9FF"/>
      <color rgb="FF51459E"/>
      <color rgb="FF000000"/>
      <color rgb="FF999999"/>
      <color rgb="FFA6A6A6"/>
      <color rgb="FFF5F5F5"/>
      <color rgb="FFFFFCF7"/>
      <color rgb="FFE2E2E2"/>
      <color rgb="FFFAFAFA"/>
      <color rgb="FFFFFFFF"/>
    </mruColors>
  </color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10"/>
            <color theme="0"/>
            <name val="Gilroy-SemiBold"/>
            <scheme val="none"/>
          </font>
          <fill>
            <patternFill patternType="solid">
              <fgColor auto="1"/>
              <bgColor theme="0" tint="-0.3499862666707357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10"/>
            <color theme="0"/>
            <name val="Gilroy-SemiBold"/>
            <scheme val="none"/>
          </font>
          <fill>
            <patternFill patternType="solid">
              <fgColor auto="1"/>
              <bgColor theme="0" tint="-0.34998626667073579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5117038483843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sz val="10"/>
            <color theme="4" tint="-0.499984740745262"/>
            <name val="Gilroy-SemiBold"/>
            <scheme val="none"/>
          </font>
          <fill>
            <patternFill patternType="solid">
              <fgColor theme="4" tint="0.59999389629810485"/>
              <bgColor rgb="FFF5F5F5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sz val="10"/>
            <color rgb="FF999999"/>
            <name val="Gilroy-SemiBold"/>
            <scheme val="none"/>
          </font>
          <fill>
            <patternFill patternType="solid">
              <fgColor rgb="FFFFFFFF"/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sz val="10"/>
            <color theme="4" tint="-0.499984740745262"/>
            <name val="Gilroy-SemiBold"/>
            <scheme val="none"/>
          </font>
          <fill>
            <patternFill patternType="solid">
              <fgColor theme="4"/>
              <bgColor rgb="FFFAFAFA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sz val="10"/>
            <color rgb="FF999999"/>
            <name val="Gilroy-SemiBold"/>
            <scheme val="none"/>
          </font>
          <fill>
            <patternFill patternType="solid">
              <fgColor rgb="FFFFFFFF"/>
              <bgColor rgb="FFFFFFFF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tyle 1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tyle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pivotCacheDefinition" Target="pivotCache/pivotCacheDefinition6.xml"/><Relationship Id="rId18" Type="http://schemas.openxmlformats.org/officeDocument/2006/relationships/pivotCacheDefinition" Target="pivotCache/pivotCacheDefinition11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4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pivotCacheDefinition" Target="pivotCache/pivotCacheDefinition10.xml"/><Relationship Id="rId25" Type="http://schemas.microsoft.com/office/2007/relationships/slicerCache" Target="slicerCaches/slicerCache3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9.xml"/><Relationship Id="rId20" Type="http://schemas.openxmlformats.org/officeDocument/2006/relationships/pivotCacheDefinition" Target="pivotCache/pivotCacheDefinition13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24" Type="http://schemas.microsoft.com/office/2007/relationships/slicerCache" Target="slicerCaches/slicerCache2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8.xml"/><Relationship Id="rId23" Type="http://schemas.microsoft.com/office/2007/relationships/slicerCache" Target="slicerCaches/slicerCache1.xml"/><Relationship Id="rId28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pivotCacheDefinition" Target="pivotCache/pivotCacheDefinition12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pivotCacheDefinition" Target="pivotCache/pivotCacheDefinition7.xml"/><Relationship Id="rId22" Type="http://schemas.openxmlformats.org/officeDocument/2006/relationships/pivotCacheDefinition" Target="pivotCache/pivotCacheDefinition15.xml"/><Relationship Id="rId27" Type="http://schemas.openxmlformats.org/officeDocument/2006/relationships/connections" Target="connections.xml"/><Relationship Id="rId30" Type="http://schemas.openxmlformats.org/officeDocument/2006/relationships/powerPivotData" Target="model/item.data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[Gestion_de_stock_my_version.xlsm]Traitement!TDC4 - SommeQuantité(STOCK)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5.6068412611516918E-3"/>
              <c:y val="-1.944296428146275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1.9057001040479516E-2"/>
              <c:y val="9.594928205796822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6.2573215139482517E-3"/>
              <c:y val="8.1049040718070304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3517750022027734E-2"/>
          <c:y val="0.11179355860679689"/>
          <c:w val="0.49832783351162219"/>
          <c:h val="0.77868508619272481"/>
        </c:manualLayout>
      </c:layout>
      <c:pieChart>
        <c:varyColors val="1"/>
        <c:ser>
          <c:idx val="0"/>
          <c:order val="0"/>
          <c:tx>
            <c:strRef>
              <c:f>Traitement!$B$10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3B6-425E-98D5-8795503D208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3B6-425E-98D5-8795503D208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3B6-425E-98D5-8795503D208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3B6-425E-98D5-8795503D208C}"/>
              </c:ext>
            </c:extLst>
          </c:dPt>
          <c:dLbls>
            <c:dLbl>
              <c:idx val="0"/>
              <c:layout>
                <c:manualLayout>
                  <c:x val="-5.6068412611516918E-3"/>
                  <c:y val="-1.9442964281462752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3B6-425E-98D5-8795503D208C}"/>
                </c:ext>
              </c:extLst>
            </c:dLbl>
            <c:dLbl>
              <c:idx val="2"/>
              <c:layout>
                <c:manualLayout>
                  <c:x val="-1.9057001040479516E-2"/>
                  <c:y val="9.5949282057968224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3B6-425E-98D5-8795503D208C}"/>
                </c:ext>
              </c:extLst>
            </c:dLbl>
            <c:dLbl>
              <c:idx val="3"/>
              <c:layout>
                <c:manualLayout>
                  <c:x val="6.2573215139482517E-3"/>
                  <c:y val="8.1049040718070304E-3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3B6-425E-98D5-8795503D208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Traitement!$A$11:$A$15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Traitement!$B$11:$B$15</c:f>
              <c:numCache>
                <c:formatCode>General</c:formatCode>
                <c:ptCount val="4"/>
                <c:pt idx="0">
                  <c:v>254</c:v>
                </c:pt>
                <c:pt idx="1">
                  <c:v>15</c:v>
                </c:pt>
                <c:pt idx="2">
                  <c:v>70</c:v>
                </c:pt>
                <c:pt idx="3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3B6-425E-98D5-8795503D208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588214722853566E-3"/>
          <c:y val="0.81776658522620982"/>
          <c:w val="0.71415942880996786"/>
          <c:h val="0.182233414773790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[Gestion_de_stock_my_version.xlsm]Traitement!TDC5 - Total(STOCK)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39799943472971477"/>
              <c:y val="6.082297799517247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4.1603609411466555E-2"/>
              <c:y val="0.119802835445036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4.0947593394845078E-2"/>
              <c:y val="-6.637207698496826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4.4225782941882084E-2"/>
              <c:y val="8.604499420070095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7992222334604089"/>
          <c:y val="0.1786927137816654"/>
          <c:w val="0.48217271748490648"/>
          <c:h val="0.59222626902477737"/>
        </c:manualLayout>
      </c:layout>
      <c:pieChart>
        <c:varyColors val="1"/>
        <c:ser>
          <c:idx val="0"/>
          <c:order val="0"/>
          <c:tx>
            <c:strRef>
              <c:f>Traitement!$B$17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24C-4ED4-9485-11FFECC595C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24C-4ED4-9485-11FFECC595C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24C-4ED4-9485-11FFECC595C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24C-4ED4-9485-11FFECC595C1}"/>
              </c:ext>
            </c:extLst>
          </c:dPt>
          <c:dLbls>
            <c:dLbl>
              <c:idx val="0"/>
              <c:layout>
                <c:manualLayout>
                  <c:x val="-0.39799943472971477"/>
                  <c:y val="6.0822977995172472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24C-4ED4-9485-11FFECC595C1}"/>
                </c:ext>
              </c:extLst>
            </c:dLbl>
            <c:dLbl>
              <c:idx val="1"/>
              <c:layout>
                <c:manualLayout>
                  <c:x val="4.1603609411466555E-2"/>
                  <c:y val="0.1198028354450367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4C-4ED4-9485-11FFECC595C1}"/>
                </c:ext>
              </c:extLst>
            </c:dLbl>
            <c:dLbl>
              <c:idx val="2"/>
              <c:layout>
                <c:manualLayout>
                  <c:x val="4.0947593394845078E-2"/>
                  <c:y val="-6.6372076984968262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24C-4ED4-9485-11FFECC595C1}"/>
                </c:ext>
              </c:extLst>
            </c:dLbl>
            <c:dLbl>
              <c:idx val="3"/>
              <c:layout>
                <c:manualLayout>
                  <c:x val="-4.4225782941882084E-2"/>
                  <c:y val="8.6044994200700956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4C-4ED4-9485-11FFECC595C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Traitement!$A$18:$A$22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Traitement!$B$18:$B$22</c:f>
              <c:numCache>
                <c:formatCode>_-* #,##0\ [$€-40C]_-;\-* #,##0\ [$€-40C]_-;_-* "-"??\ [$€-40C]_-;_-@_-</c:formatCode>
                <c:ptCount val="4"/>
                <c:pt idx="0">
                  <c:v>721.43523809523811</c:v>
                </c:pt>
                <c:pt idx="1">
                  <c:v>10588.6587366694</c:v>
                </c:pt>
                <c:pt idx="2">
                  <c:v>17750</c:v>
                </c:pt>
                <c:pt idx="3">
                  <c:v>25792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4C-4ED4-9485-11FFECC59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551592256742363"/>
          <c:y val="0.82985065789244539"/>
          <c:w val="0.68374420515352885"/>
          <c:h val="0.163466239501393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[Gestion_de_stock_my_version.xlsm]Traitement!TDC6 - SommeQuantité(Entrée)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915027730427417"/>
          <c:y val="9.8989954708048583E-2"/>
          <c:w val="0.55334376575900235"/>
          <c:h val="0.61250559104377744"/>
        </c:manualLayout>
      </c:layout>
      <c:pieChart>
        <c:varyColors val="1"/>
        <c:ser>
          <c:idx val="0"/>
          <c:order val="0"/>
          <c:tx>
            <c:strRef>
              <c:f>Traitement!$B$24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9E8-4C4E-A2FF-B9776E93225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9E8-4C4E-A2FF-B9776E93225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9E8-4C4E-A2FF-B9776E93225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9E8-4C4E-A2FF-B9776E932258}"/>
              </c:ext>
            </c:extLst>
          </c:dPt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9E8-4C4E-A2FF-B9776E93225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9E8-4C4E-A2FF-B9776E93225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9E8-4C4E-A2FF-B9776E932258}"/>
                </c:ext>
              </c:extLst>
            </c:dLbl>
            <c:dLbl>
              <c:idx val="3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9E8-4C4E-A2FF-B9776E9322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Traitement!$A$25:$A$29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Traitement!$B$25:$B$29</c:f>
              <c:numCache>
                <c:formatCode>General</c:formatCode>
                <c:ptCount val="4"/>
                <c:pt idx="0">
                  <c:v>562</c:v>
                </c:pt>
                <c:pt idx="1">
                  <c:v>90</c:v>
                </c:pt>
                <c:pt idx="2">
                  <c:v>189</c:v>
                </c:pt>
                <c:pt idx="3">
                  <c:v>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9E8-4C4E-A2FF-B9776E9322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9880276269698245E-2"/>
          <c:y val="0.76009415737424202"/>
          <c:w val="0.79754527086991822"/>
          <c:h val="0.160887185357336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[Gestion_de_stock_my_version.xlsm]Traitement!TDC7 - Total(Entrée)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5.8647532485884184E-3"/>
              <c:y val="0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0570645109003596"/>
                  <c:h val="0.19702571742948721"/>
                </c:manualLayout>
              </c15:layout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1.6984399761950934E-2"/>
              <c:y val="7.101447564538987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534520458177586"/>
                  <c:h val="0.19702571742948721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3.3968576631516541E-2"/>
              <c:y val="2.367149188179655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3005347188324002"/>
                  <c:h val="0.19702571742948721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1.1729741756375407E-2"/>
              <c:y val="5.523348105752538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913085280439109"/>
                  <c:h val="0.28370314085283227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26748723954376835"/>
          <c:y val="9.1266959132815711E-2"/>
          <c:w val="0.48569946880112896"/>
          <c:h val="0.65346489132548546"/>
        </c:manualLayout>
      </c:layout>
      <c:pieChart>
        <c:varyColors val="1"/>
        <c:ser>
          <c:idx val="0"/>
          <c:order val="0"/>
          <c:tx>
            <c:strRef>
              <c:f>Traitement!$B$31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29F-4309-8222-23FAD08F3C8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29F-4309-8222-23FAD08F3C8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29F-4309-8222-23FAD08F3C8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29F-4309-8222-23FAD08F3C86}"/>
              </c:ext>
            </c:extLst>
          </c:dPt>
          <c:dLbls>
            <c:dLbl>
              <c:idx val="0"/>
              <c:layout>
                <c:manualLayout>
                  <c:x val="-5.8647532485884184E-3"/>
                  <c:y val="0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0570645109003596"/>
                      <c:h val="0.197025717429487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229F-4309-8222-23FAD08F3C86}"/>
                </c:ext>
              </c:extLst>
            </c:dLbl>
            <c:dLbl>
              <c:idx val="1"/>
              <c:layout>
                <c:manualLayout>
                  <c:x val="-1.6984399761950934E-2"/>
                  <c:y val="7.1014475645389874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534520458177586"/>
                      <c:h val="0.197025717429487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29F-4309-8222-23FAD08F3C86}"/>
                </c:ext>
              </c:extLst>
            </c:dLbl>
            <c:dLbl>
              <c:idx val="2"/>
              <c:layout>
                <c:manualLayout>
                  <c:x val="-3.3968576631516541E-2"/>
                  <c:y val="2.3671491881796552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3005347188324002"/>
                      <c:h val="0.197025717429487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29F-4309-8222-23FAD08F3C86}"/>
                </c:ext>
              </c:extLst>
            </c:dLbl>
            <c:dLbl>
              <c:idx val="3"/>
              <c:layout>
                <c:manualLayout>
                  <c:x val="1.1729741756375407E-2"/>
                  <c:y val="5.523348105752538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913085280439109"/>
                      <c:h val="0.2837031408528322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229F-4309-8222-23FAD08F3C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Traitement!$A$32:$A$36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Traitement!$B$32:$B$36</c:f>
              <c:numCache>
                <c:formatCode>_-* #,##0\ [$€-40C]_-;\-* #,##0\ [$€-40C]_-;_-* "-"??\ [$€-40C]_-;_-@_-</c:formatCode>
                <c:ptCount val="4"/>
                <c:pt idx="0">
                  <c:v>1593.9500000000003</c:v>
                </c:pt>
                <c:pt idx="1">
                  <c:v>53925</c:v>
                </c:pt>
                <c:pt idx="2">
                  <c:v>68550</c:v>
                </c:pt>
                <c:pt idx="3">
                  <c:v>167360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29F-4309-8222-23FAD08F3C8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8488934780711336"/>
          <c:y val="0.78566302854682513"/>
          <c:w val="0.62138307506099111"/>
          <c:h val="0.179385796235052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[Gestion_de_stock_my_version.xlsm]Traitement!TDC8 - SommeQuantité(Sortie)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1616816377853021"/>
          <c:y val="0.14430642612461311"/>
          <c:w val="0.47099306451442169"/>
          <c:h val="0.58318264787358276"/>
        </c:manualLayout>
      </c:layout>
      <c:pieChart>
        <c:varyColors val="1"/>
        <c:ser>
          <c:idx val="0"/>
          <c:order val="0"/>
          <c:tx>
            <c:strRef>
              <c:f>Traitement!$B$38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B3A-4802-ACFD-BDB142BD92F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B3A-4802-ACFD-BDB142BD92F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B3A-4802-ACFD-BDB142BD92F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B3A-4802-ACFD-BDB142BD92F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Traitement!$A$39:$A$43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Traitement!$B$39:$B$43</c:f>
              <c:numCache>
                <c:formatCode>General</c:formatCode>
                <c:ptCount val="4"/>
                <c:pt idx="0">
                  <c:v>338</c:v>
                </c:pt>
                <c:pt idx="1">
                  <c:v>84</c:v>
                </c:pt>
                <c:pt idx="2">
                  <c:v>133</c:v>
                </c:pt>
                <c:pt idx="3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B3A-4802-ACFD-BDB142BD92F7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009427731540693E-2"/>
          <c:y val="0.81001493652404688"/>
          <c:w val="0.81261301978746647"/>
          <c:h val="0.146560296884073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[Gestion_de_stock_my_version.xlsm]Traitement!TDC9 - Total(Sortie)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669229948276979"/>
                  <c:h val="0.1071251744975196"/>
                </c:manualLayout>
              </c15:layout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1.2101500234411738E-2"/>
              <c:y val="9.968729319930634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428426316611966"/>
                  <c:h val="0.12246163469759397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3.6305215372828832E-2"/>
              <c:y val="7.6682301000371936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14859029040361"/>
                  <c:h val="0.15313455509774276"/>
                </c:manualLayout>
              </c15:layout>
            </c:ext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"/>
              <c:y val="8.818494804925057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7591963683349913"/>
                  <c:h val="0.13768337334499064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27989367622227557"/>
          <c:y val="9.9686991300483516E-2"/>
          <c:w val="0.50072133984349687"/>
          <c:h val="0.63456113571921957"/>
        </c:manualLayout>
      </c:layout>
      <c:pieChart>
        <c:varyColors val="1"/>
        <c:ser>
          <c:idx val="0"/>
          <c:order val="0"/>
          <c:tx>
            <c:strRef>
              <c:f>Traitement!$B$45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6AD-4D2D-A840-DCCA48A18FD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6AD-4D2D-A840-DCCA48A18FD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6AD-4D2D-A840-DCCA48A18FD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6AD-4D2D-A840-DCCA48A18FDF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669229948276979"/>
                      <c:h val="0.107125174497519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B6AD-4D2D-A840-DCCA48A18FDF}"/>
                </c:ext>
              </c:extLst>
            </c:dLbl>
            <c:dLbl>
              <c:idx val="1"/>
              <c:layout>
                <c:manualLayout>
                  <c:x val="-1.2101500234411738E-2"/>
                  <c:y val="9.968729319930634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428426316611966"/>
                      <c:h val="0.1224616346975939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B6AD-4D2D-A840-DCCA48A18FDF}"/>
                </c:ext>
              </c:extLst>
            </c:dLbl>
            <c:dLbl>
              <c:idx val="2"/>
              <c:layout>
                <c:manualLayout>
                  <c:x val="-3.6305215372828832E-2"/>
                  <c:y val="7.6682301000371936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14859029040361"/>
                      <c:h val="0.1531345550977427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B6AD-4D2D-A840-DCCA48A18FDF}"/>
                </c:ext>
              </c:extLst>
            </c:dLbl>
            <c:dLbl>
              <c:idx val="3"/>
              <c:layout>
                <c:manualLayout>
                  <c:x val="0"/>
                  <c:y val="8.81849480492505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591963683349913"/>
                      <c:h val="0.137683373344990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B6AD-4D2D-A840-DCCA48A18F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Traitement!$A$46:$A$50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Traitement!$B$46:$B$50</c:f>
              <c:numCache>
                <c:formatCode>_-* #,##0\ [$€-40C]_-;\-* #,##0\ [$€-40C]_-;_-* "-"??\ [$€-40C]_-;_-@_-</c:formatCode>
                <c:ptCount val="4"/>
                <c:pt idx="0">
                  <c:v>1141</c:v>
                </c:pt>
                <c:pt idx="1">
                  <c:v>57320</c:v>
                </c:pt>
                <c:pt idx="2">
                  <c:v>67960</c:v>
                </c:pt>
                <c:pt idx="3">
                  <c:v>171510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6AD-4D2D-A840-DCCA48A18FD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9852330204033405"/>
          <c:y val="0.78655753225487013"/>
          <c:w val="0.71791991126662325"/>
          <c:h val="0.1444283968447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7198061972983074E-2"/>
          <c:y val="0"/>
          <c:w val="0.92560387605403383"/>
          <c:h val="0.8100725045496652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Traitement!$E$53:$E$57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Traitement!$F$53:$F$57</c:f>
              <c:numCache>
                <c:formatCode>General</c:formatCode>
                <c:ptCount val="5"/>
                <c:pt idx="0">
                  <c:v>137</c:v>
                </c:pt>
                <c:pt idx="1">
                  <c:v>184</c:v>
                </c:pt>
                <c:pt idx="2">
                  <c:v>142</c:v>
                </c:pt>
                <c:pt idx="3">
                  <c:v>106</c:v>
                </c:pt>
                <c:pt idx="4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8A-404E-BE3C-80BB92CDEE8F}"/>
            </c:ext>
          </c:extLst>
        </c:ser>
        <c:ser>
          <c:idx val="1"/>
          <c:order val="1"/>
          <c:spPr>
            <a:solidFill>
              <a:srgbClr val="51459E"/>
            </a:solidFill>
            <a:ln>
              <a:noFill/>
            </a:ln>
            <a:effectLst/>
          </c:spPr>
          <c:invertIfNegative val="0"/>
          <c:cat>
            <c:strRef>
              <c:f>Traitement!$E$53:$E$57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Traitement!$G$53:$G$57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8A-404E-BE3C-80BB92CDE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6"/>
        <c:overlap val="100"/>
        <c:axId val="584398320"/>
        <c:axId val="584396880"/>
      </c:barChart>
      <c:catAx>
        <c:axId val="58439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4396880"/>
        <c:crosses val="autoZero"/>
        <c:auto val="1"/>
        <c:lblAlgn val="ctr"/>
        <c:lblOffset val="100"/>
        <c:noMultiLvlLbl val="0"/>
      </c:catAx>
      <c:valAx>
        <c:axId val="5843968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8439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Traitement!$E$61:$E$65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Traitement!$F$61:$F$65</c:f>
              <c:numCache>
                <c:formatCode>General</c:formatCode>
                <c:ptCount val="5"/>
                <c:pt idx="0">
                  <c:v>71</c:v>
                </c:pt>
                <c:pt idx="1">
                  <c:v>100</c:v>
                </c:pt>
                <c:pt idx="2">
                  <c:v>187</c:v>
                </c:pt>
                <c:pt idx="3">
                  <c:v>253</c:v>
                </c:pt>
                <c:pt idx="4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35-41CC-9BCC-0F911D56F233}"/>
            </c:ext>
          </c:extLst>
        </c:ser>
        <c:ser>
          <c:idx val="1"/>
          <c:order val="1"/>
          <c:spPr>
            <a:solidFill>
              <a:srgbClr val="51459E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51459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E35-41CC-9BCC-0F911D56F233}"/>
              </c:ext>
            </c:extLst>
          </c:dPt>
          <c:dLbls>
            <c:delete val="1"/>
          </c:dLbls>
          <c:cat>
            <c:strRef>
              <c:f>Traitement!$E$61:$E$65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Traitement!$G$61:$G$65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253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35-41CC-9BCC-0F911D56F23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26"/>
        <c:overlap val="100"/>
        <c:axId val="1305861936"/>
        <c:axId val="1305860136"/>
      </c:barChart>
      <c:catAx>
        <c:axId val="130586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5860136"/>
        <c:crosses val="autoZero"/>
        <c:auto val="1"/>
        <c:lblAlgn val="ctr"/>
        <c:lblOffset val="100"/>
        <c:noMultiLvlLbl val="0"/>
      </c:catAx>
      <c:valAx>
        <c:axId val="13058601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0586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[Gestion_de_stock_my_version.xlsm]Traitement!TDC12 - TotalValeur (Entrée)</c:name>
    <c:fmtId val="6"/>
  </c:pivotSource>
  <c:chart>
    <c:autoTitleDeleted val="0"/>
    <c:pivotFmts>
      <c:pivotFmt>
        <c:idx val="0"/>
        <c:spPr>
          <a:gradFill>
            <a:gsLst>
              <a:gs pos="27000">
                <a:schemeClr val="accent1">
                  <a:lumMod val="5000"/>
                  <a:lumOff val="95000"/>
                </a:schemeClr>
              </a:gs>
              <a:gs pos="75000">
                <a:schemeClr val="accent1">
                  <a:alpha val="50000"/>
                  <a:lumMod val="25000"/>
                  <a:lumOff val="75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27000">
                <a:schemeClr val="accent1">
                  <a:lumMod val="5000"/>
                  <a:lumOff val="95000"/>
                </a:schemeClr>
              </a:gs>
              <a:gs pos="75000">
                <a:schemeClr val="accent1">
                  <a:alpha val="50000"/>
                  <a:lumMod val="25000"/>
                  <a:lumOff val="75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27000">
                <a:schemeClr val="accent1">
                  <a:lumMod val="5000"/>
                  <a:lumOff val="95000"/>
                </a:schemeClr>
              </a:gs>
              <a:gs pos="75000">
                <a:schemeClr val="accent1">
                  <a:alpha val="50000"/>
                  <a:lumMod val="25000"/>
                  <a:lumOff val="75000"/>
                </a:schemeClr>
              </a:gs>
            </a:gsLst>
            <a:lin ang="5400000" scaled="1"/>
          </a:gra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7450141373625664E-2"/>
          <c:y val="0.11820180949455823"/>
          <c:w val="0.97556980207692412"/>
          <c:h val="0.6325184431205616"/>
        </c:manualLayout>
      </c:layout>
      <c:areaChart>
        <c:grouping val="standard"/>
        <c:varyColors val="0"/>
        <c:ser>
          <c:idx val="0"/>
          <c:order val="0"/>
          <c:tx>
            <c:strRef>
              <c:f>Traitement!$B$68</c:f>
              <c:strCache>
                <c:ptCount val="1"/>
                <c:pt idx="0">
                  <c:v>Somme de Total</c:v>
                </c:pt>
              </c:strCache>
            </c:strRef>
          </c:tx>
          <c:spPr>
            <a:gradFill>
              <a:gsLst>
                <a:gs pos="27000">
                  <a:schemeClr val="accent1">
                    <a:lumMod val="5000"/>
                    <a:lumOff val="95000"/>
                  </a:schemeClr>
                </a:gs>
                <a:gs pos="75000">
                  <a:schemeClr val="accent1">
                    <a:alpha val="50000"/>
                    <a:lumMod val="25000"/>
                    <a:lumOff val="75000"/>
                  </a:schemeClr>
                </a:gs>
              </a:gsLst>
              <a:lin ang="5400000" scaled="1"/>
            </a:gradFill>
            <a:ln w="25400">
              <a:noFill/>
            </a:ln>
            <a:effectLst/>
          </c:spPr>
          <c:cat>
            <c:strRef>
              <c:f>Traitement!$A$69:$A$74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Traitement!$B$69:$B$74</c:f>
              <c:numCache>
                <c:formatCode>_-* #,##0\ [$€-40C]_-;\-* #,##0\ [$€-40C]_-;_-* "-"??\ [$€-40C]_-;_-@_-</c:formatCode>
                <c:ptCount val="5"/>
                <c:pt idx="0">
                  <c:v>51548</c:v>
                </c:pt>
                <c:pt idx="1">
                  <c:v>76664.399999999994</c:v>
                </c:pt>
                <c:pt idx="2">
                  <c:v>38248</c:v>
                </c:pt>
                <c:pt idx="3">
                  <c:v>48081.15</c:v>
                </c:pt>
                <c:pt idx="4">
                  <c:v>76887.399999999994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E4D-4F22-B9AA-CA5D63779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3468000"/>
        <c:axId val="823473400"/>
      </c:areaChart>
      <c:lineChart>
        <c:grouping val="standard"/>
        <c:varyColors val="0"/>
        <c:ser>
          <c:idx val="1"/>
          <c:order val="1"/>
          <c:tx>
            <c:strRef>
              <c:f>Traitement!$C$68</c:f>
              <c:strCache>
                <c:ptCount val="1"/>
                <c:pt idx="0">
                  <c:v>Somme de Total2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Traitement!$A$69:$A$74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Traitement!$C$69:$C$74</c:f>
              <c:numCache>
                <c:formatCode>_-* #,##0\ [$€-40C]_-;\-* #,##0\ [$€-40C]_-;_-* "-"??\ [$€-40C]_-;_-@_-</c:formatCode>
                <c:ptCount val="5"/>
                <c:pt idx="0">
                  <c:v>51548</c:v>
                </c:pt>
                <c:pt idx="1">
                  <c:v>76664.399999999994</c:v>
                </c:pt>
                <c:pt idx="2">
                  <c:v>38248</c:v>
                </c:pt>
                <c:pt idx="3">
                  <c:v>48081.15</c:v>
                </c:pt>
                <c:pt idx="4">
                  <c:v>76887.399999999994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E4D-4F22-B9AA-CA5D63779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468000"/>
        <c:axId val="823473400"/>
      </c:lineChart>
      <c:catAx>
        <c:axId val="823468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23473400"/>
        <c:crosses val="autoZero"/>
        <c:auto val="1"/>
        <c:lblAlgn val="ctr"/>
        <c:lblOffset val="100"/>
        <c:noMultiLvlLbl val="0"/>
      </c:catAx>
      <c:valAx>
        <c:axId val="823473400"/>
        <c:scaling>
          <c:orientation val="minMax"/>
        </c:scaling>
        <c:delete val="1"/>
        <c:axPos val="l"/>
        <c:numFmt formatCode="_-* #,##0\ [$€-40C]_-;\-* #,##0\ [$€-40C]_-;_-* &quot;-&quot;??\ [$€-40C]_-;_-@_-" sourceLinked="1"/>
        <c:majorTickMark val="none"/>
        <c:minorTickMark val="none"/>
        <c:tickLblPos val="nextTo"/>
        <c:crossAx val="823468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[Gestion_de_stock_my_version.xlsm]Traitement!TDC12 - TotalValeur (Sortie)</c:name>
    <c:fmtId val="11"/>
  </c:pivotSource>
  <c:chart>
    <c:autoTitleDeleted val="1"/>
    <c:pivotFmts>
      <c:pivotFmt>
        <c:idx val="0"/>
        <c:spPr>
          <a:gradFill>
            <a:gsLst>
              <a:gs pos="75000">
                <a:schemeClr val="accent1">
                  <a:alpha val="50000"/>
                  <a:lumMod val="25000"/>
                  <a:lumOff val="75000"/>
                </a:schemeClr>
              </a:gs>
              <a:gs pos="75000">
                <a:schemeClr val="accent1">
                  <a:alpha val="50000"/>
                  <a:lumMod val="25000"/>
                  <a:lumOff val="75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rgbClr val="51459E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>
            <a:gsLst>
              <a:gs pos="75000">
                <a:schemeClr val="accent1">
                  <a:alpha val="50000"/>
                  <a:lumMod val="25000"/>
                  <a:lumOff val="75000"/>
                </a:schemeClr>
              </a:gs>
              <a:gs pos="75000">
                <a:schemeClr val="accent1">
                  <a:alpha val="50000"/>
                  <a:lumMod val="25000"/>
                  <a:lumOff val="75000"/>
                </a:schemeClr>
              </a:gs>
            </a:gsLst>
            <a:lin ang="5400000" scaled="1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rgbClr val="51459E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>
            <a:gsLst>
              <a:gs pos="75000">
                <a:schemeClr val="accent1">
                  <a:alpha val="50000"/>
                  <a:lumMod val="25000"/>
                  <a:lumOff val="75000"/>
                </a:schemeClr>
              </a:gs>
              <a:gs pos="75000">
                <a:schemeClr val="accent1">
                  <a:alpha val="50000"/>
                  <a:lumMod val="25000"/>
                  <a:lumOff val="75000"/>
                </a:schemeClr>
              </a:gs>
            </a:gsLst>
            <a:lin ang="5400000" scaled="1"/>
          </a:gra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Traitement!$B$76</c:f>
              <c:strCache>
                <c:ptCount val="1"/>
                <c:pt idx="0">
                  <c:v>Somme de Total</c:v>
                </c:pt>
              </c:strCache>
            </c:strRef>
          </c:tx>
          <c:spPr>
            <a:gradFill>
              <a:gsLst>
                <a:gs pos="75000">
                  <a:schemeClr val="accent1">
                    <a:alpha val="50000"/>
                    <a:lumMod val="25000"/>
                    <a:lumOff val="75000"/>
                  </a:schemeClr>
                </a:gs>
                <a:gs pos="75000">
                  <a:schemeClr val="accent1">
                    <a:alpha val="50000"/>
                    <a:lumMod val="25000"/>
                    <a:lumOff val="75000"/>
                  </a:schemeClr>
                </a:gs>
              </a:gsLst>
              <a:lin ang="5400000" scaled="1"/>
            </a:gradFill>
            <a:ln w="25400">
              <a:noFill/>
            </a:ln>
            <a:effectLst/>
          </c:spPr>
          <c:cat>
            <c:strRef>
              <c:f>Traitement!$A$77:$A$82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Traitement!$B$77:$B$82</c:f>
              <c:numCache>
                <c:formatCode>_-* #,##0\ [$€-40C]_-;\-* #,##0\ [$€-40C]_-;_-* "-"??\ [$€-40C]_-;_-@_-</c:formatCode>
                <c:ptCount val="5"/>
                <c:pt idx="0">
                  <c:v>38385.299999999996</c:v>
                </c:pt>
                <c:pt idx="1">
                  <c:v>60319.5</c:v>
                </c:pt>
                <c:pt idx="2">
                  <c:v>69065</c:v>
                </c:pt>
                <c:pt idx="3">
                  <c:v>74985</c:v>
                </c:pt>
                <c:pt idx="4">
                  <c:v>55176.2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293-4C02-AB4A-E3C196AE0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3956128"/>
        <c:axId val="703957568"/>
      </c:areaChart>
      <c:lineChart>
        <c:grouping val="standard"/>
        <c:varyColors val="0"/>
        <c:ser>
          <c:idx val="1"/>
          <c:order val="1"/>
          <c:tx>
            <c:strRef>
              <c:f>Traitement!$C$76</c:f>
              <c:strCache>
                <c:ptCount val="1"/>
                <c:pt idx="0">
                  <c:v>Somme de Total2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Traitement!$A$77:$A$82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Traitement!$C$77:$C$82</c:f>
              <c:numCache>
                <c:formatCode>_-* #,##0\ [$€-40C]_-;\-* #,##0\ [$€-40C]_-;_-* "-"??\ [$€-40C]_-;_-@_-</c:formatCode>
                <c:ptCount val="5"/>
                <c:pt idx="0">
                  <c:v>38385.299999999996</c:v>
                </c:pt>
                <c:pt idx="1">
                  <c:v>60319.5</c:v>
                </c:pt>
                <c:pt idx="2">
                  <c:v>69065</c:v>
                </c:pt>
                <c:pt idx="3">
                  <c:v>74985</c:v>
                </c:pt>
                <c:pt idx="4">
                  <c:v>55176.2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293-4C02-AB4A-E3C196AE0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3956128"/>
        <c:axId val="703957568"/>
      </c:lineChart>
      <c:catAx>
        <c:axId val="703956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3957568"/>
        <c:crosses val="autoZero"/>
        <c:auto val="1"/>
        <c:lblAlgn val="ctr"/>
        <c:lblOffset val="100"/>
        <c:noMultiLvlLbl val="0"/>
      </c:catAx>
      <c:valAx>
        <c:axId val="703957568"/>
        <c:scaling>
          <c:orientation val="minMax"/>
        </c:scaling>
        <c:delete val="1"/>
        <c:axPos val="l"/>
        <c:numFmt formatCode="_-* #,##0\ [$€-40C]_-;\-* #,##0\ [$€-40C]_-;_-* &quot;-&quot;??\ [$€-40C]_-;_-@_-" sourceLinked="1"/>
        <c:majorTickMark val="none"/>
        <c:minorTickMark val="none"/>
        <c:tickLblPos val="nextTo"/>
        <c:crossAx val="703956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[Gestion_de_stock_my_version.xlsm]Traitement!TDC13 - TOP 3 Produits vendus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Traitement!$B$84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Traitement!$A$85:$A$88</c:f>
              <c:strCache>
                <c:ptCount val="3"/>
                <c:pt idx="0">
                  <c:v>Cuisinière CANDY</c:v>
                </c:pt>
                <c:pt idx="1">
                  <c:v>GOOGLE PIXEL 5</c:v>
                </c:pt>
                <c:pt idx="2">
                  <c:v>IPHONE 13 PRO</c:v>
                </c:pt>
              </c:strCache>
            </c:strRef>
          </c:cat>
          <c:val>
            <c:numRef>
              <c:f>Traitement!$B$85:$B$88</c:f>
              <c:numCache>
                <c:formatCode>_-* #,##0\ [$€-40C]_-;\-* #,##0\ [$€-40C]_-;_-* "-"??\ [$€-40C]_-;_-@_-</c:formatCode>
                <c:ptCount val="3"/>
                <c:pt idx="0">
                  <c:v>35400</c:v>
                </c:pt>
                <c:pt idx="1">
                  <c:v>42010</c:v>
                </c:pt>
                <c:pt idx="2">
                  <c:v>129500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B6-4D06-9956-2083664F39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axId val="1286322528"/>
        <c:axId val="1286322888"/>
      </c:barChart>
      <c:catAx>
        <c:axId val="12863225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86322888"/>
        <c:crosses val="autoZero"/>
        <c:auto val="1"/>
        <c:lblAlgn val="ctr"/>
        <c:lblOffset val="100"/>
        <c:noMultiLvlLbl val="0"/>
      </c:catAx>
      <c:valAx>
        <c:axId val="1286322888"/>
        <c:scaling>
          <c:orientation val="minMax"/>
        </c:scaling>
        <c:delete val="1"/>
        <c:axPos val="b"/>
        <c:numFmt formatCode="_-* #,##0\ [$€-40C]_-;\-* #,##0\ [$€-40C]_-;_-* &quot;-&quot;??\ [$€-40C]_-;_-@_-" sourceLinked="1"/>
        <c:majorTickMark val="none"/>
        <c:minorTickMark val="none"/>
        <c:tickLblPos val="nextTo"/>
        <c:crossAx val="128632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[Gestion_de_stock_my_version.xlsm]Traitement!TDC6 - SommeQuantité(Entrée)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Entrée</a:t>
            </a:r>
            <a:r>
              <a:rPr lang="en-US" baseline="0"/>
              <a:t> par catégorie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9515767173918733"/>
          <c:y val="0.1619880908980435"/>
          <c:w val="0.6876791480201665"/>
          <c:h val="0.69626657285940274"/>
        </c:manualLayout>
      </c:layout>
      <c:pieChart>
        <c:varyColors val="1"/>
        <c:ser>
          <c:idx val="0"/>
          <c:order val="0"/>
          <c:tx>
            <c:strRef>
              <c:f>Traitement!$B$24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BBB-4F5A-AAFA-75455DFB89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BBB-4F5A-AAFA-75455DFB89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BBB-4F5A-AAFA-75455DFB89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BBB-4F5A-AAFA-75455DFB89F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Traitement!$A$25:$A$29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Traitement!$B$25:$B$29</c:f>
              <c:numCache>
                <c:formatCode>General</c:formatCode>
                <c:ptCount val="4"/>
                <c:pt idx="0">
                  <c:v>562</c:v>
                </c:pt>
                <c:pt idx="1">
                  <c:v>90</c:v>
                </c:pt>
                <c:pt idx="2">
                  <c:v>189</c:v>
                </c:pt>
                <c:pt idx="3">
                  <c:v>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7D-44AD-A2D9-6D8AD7084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988031172362447E-2"/>
          <c:y val="0.86094961550187288"/>
          <c:w val="0.83447702534903268"/>
          <c:h val="9.04899872722272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[Gestion_de_stock_my_version.xlsm]Traitement!TDC4 - SommeQuantité(STOCK)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Total Stock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3455005624296962"/>
          <c:y val="0.13770201544344748"/>
          <c:w val="0.49756655418072743"/>
          <c:h val="0.71242471144869157"/>
        </c:manualLayout>
      </c:layout>
      <c:pieChart>
        <c:varyColors val="1"/>
        <c:ser>
          <c:idx val="0"/>
          <c:order val="0"/>
          <c:tx>
            <c:strRef>
              <c:f>Traitement!$B$10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0D-46A1-9B13-77E4DF1D3B1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0D-46A1-9B13-77E4DF1D3B1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0D-46A1-9B13-77E4DF1D3B1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0D-46A1-9B13-77E4DF1D3B1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Traitement!$A$11:$A$15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Traitement!$B$11:$B$15</c:f>
              <c:numCache>
                <c:formatCode>General</c:formatCode>
                <c:ptCount val="4"/>
                <c:pt idx="0">
                  <c:v>254</c:v>
                </c:pt>
                <c:pt idx="1">
                  <c:v>15</c:v>
                </c:pt>
                <c:pt idx="2">
                  <c:v>70</c:v>
                </c:pt>
                <c:pt idx="3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BA-4939-B8E7-A433AF89097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[Gestion_de_stock_my_version.xlsm]Traitement!TDC5 - Total(STOCK)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Valeur</a:t>
            </a:r>
            <a:r>
              <a:rPr lang="fr-FR" baseline="0"/>
              <a:t> par categorie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2143832615536049"/>
          <c:y val="0.21450202197997673"/>
          <c:w val="0.52707287380898959"/>
          <c:h val="0.63910251536508733"/>
        </c:manualLayout>
      </c:layout>
      <c:pieChart>
        <c:varyColors val="1"/>
        <c:ser>
          <c:idx val="0"/>
          <c:order val="0"/>
          <c:tx>
            <c:strRef>
              <c:f>Traitement!$B$17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F70-4A1F-BBD9-E66E716EE73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F70-4A1F-BBD9-E66E716EE73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F70-4A1F-BBD9-E66E716EE73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F70-4A1F-BBD9-E66E716EE73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Traitement!$A$18:$A$22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Traitement!$B$18:$B$22</c:f>
              <c:numCache>
                <c:formatCode>_-* #,##0\ [$€-40C]_-;\-* #,##0\ [$€-40C]_-;_-* "-"??\ [$€-40C]_-;_-@_-</c:formatCode>
                <c:ptCount val="4"/>
                <c:pt idx="0">
                  <c:v>721.43523809523811</c:v>
                </c:pt>
                <c:pt idx="1">
                  <c:v>10588.6587366694</c:v>
                </c:pt>
                <c:pt idx="2">
                  <c:v>17750</c:v>
                </c:pt>
                <c:pt idx="3">
                  <c:v>25792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42-46BA-9EC6-8F5019427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[Gestion_de_stock_my_version.xlsm]Traitement!TDC7 - Total(Entrée)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Valeur Entrée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Traitement!$B$31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CC7-4C6E-94D5-5BDC2B6AD2F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CC7-4C6E-94D5-5BDC2B6AD2F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CC7-4C6E-94D5-5BDC2B6AD2F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CC7-4C6E-94D5-5BDC2B6AD2F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Traitement!$A$32:$A$36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Traitement!$B$32:$B$36</c:f>
              <c:numCache>
                <c:formatCode>_-* #,##0\ [$€-40C]_-;\-* #,##0\ [$€-40C]_-;_-* "-"??\ [$€-40C]_-;_-@_-</c:formatCode>
                <c:ptCount val="4"/>
                <c:pt idx="0">
                  <c:v>1593.9500000000003</c:v>
                </c:pt>
                <c:pt idx="1">
                  <c:v>53925</c:v>
                </c:pt>
                <c:pt idx="2">
                  <c:v>68550</c:v>
                </c:pt>
                <c:pt idx="3">
                  <c:v>167360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E1-4629-AE47-1B1A9FD58A87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[Gestion_de_stock_my_version.xlsm]Traitement!TDC8 - SommeQuantité(Sortie)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</a:t>
            </a:r>
            <a:r>
              <a:rPr lang="en-US" baseline="0"/>
              <a:t>sortie par categorie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1032288567034907"/>
          <c:y val="0.15283426272329023"/>
          <c:w val="0.55282512341082135"/>
          <c:h val="0.73982621255183334"/>
        </c:manualLayout>
      </c:layout>
      <c:pieChart>
        <c:varyColors val="1"/>
        <c:ser>
          <c:idx val="0"/>
          <c:order val="0"/>
          <c:tx>
            <c:strRef>
              <c:f>Traitement!$B$38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9B9-46FE-BB86-43DC874BBD5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9B9-46FE-BB86-43DC874BBD5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9B9-46FE-BB86-43DC874BBD5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9B9-46FE-BB86-43DC874BBD5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Traitement!$A$39:$A$43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Traitement!$B$39:$B$43</c:f>
              <c:numCache>
                <c:formatCode>General</c:formatCode>
                <c:ptCount val="4"/>
                <c:pt idx="0">
                  <c:v>338</c:v>
                </c:pt>
                <c:pt idx="1">
                  <c:v>84</c:v>
                </c:pt>
                <c:pt idx="2">
                  <c:v>133</c:v>
                </c:pt>
                <c:pt idx="3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F0-4822-B8A9-F43835EAEF31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[Gestion_de_stock_my_version.xlsm]Traitement!TDC9 - Total(Sortie)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Valeur Sortie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Traitement!$B$45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8D5-49CB-97E6-628ECAD12B5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8D5-49CB-97E6-628ECAD12B5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8D5-49CB-97E6-628ECAD12B5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8D5-49CB-97E6-628ECAD12B5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Traitement!$A$46:$A$50</c:f>
              <c:strCache>
                <c:ptCount val="4"/>
                <c:pt idx="0">
                  <c:v>Biscuits</c:v>
                </c:pt>
                <c:pt idx="1">
                  <c:v>Consoles</c:v>
                </c:pt>
                <c:pt idx="2">
                  <c:v>Electro</c:v>
                </c:pt>
                <c:pt idx="3">
                  <c:v>SmartPhone</c:v>
                </c:pt>
              </c:strCache>
            </c:strRef>
          </c:cat>
          <c:val>
            <c:numRef>
              <c:f>Traitement!$B$46:$B$50</c:f>
              <c:numCache>
                <c:formatCode>_-* #,##0\ [$€-40C]_-;\-* #,##0\ [$€-40C]_-;_-* "-"??\ [$€-40C]_-;_-@_-</c:formatCode>
                <c:ptCount val="4"/>
                <c:pt idx="0">
                  <c:v>1141</c:v>
                </c:pt>
                <c:pt idx="1">
                  <c:v>57320</c:v>
                </c:pt>
                <c:pt idx="2">
                  <c:v>67960</c:v>
                </c:pt>
                <c:pt idx="3">
                  <c:v>171510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9A-4F5B-AB15-ECC8B68B9560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MAX DU MOIS (Entrée)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Traitement!$E$53:$E$57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Traitement!$F$53:$F$57</c:f>
              <c:numCache>
                <c:formatCode>General</c:formatCode>
                <c:ptCount val="5"/>
                <c:pt idx="0">
                  <c:v>137</c:v>
                </c:pt>
                <c:pt idx="1">
                  <c:v>184</c:v>
                </c:pt>
                <c:pt idx="2">
                  <c:v>142</c:v>
                </c:pt>
                <c:pt idx="3">
                  <c:v>106</c:v>
                </c:pt>
                <c:pt idx="4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1-4BB0-9477-8B49E118E42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Traitement!$E$53:$E$57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Traitement!$G$53:$G$57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A1-4BB0-9477-8B49E118E42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26"/>
        <c:overlap val="100"/>
        <c:axId val="584398320"/>
        <c:axId val="584396880"/>
      </c:barChart>
      <c:catAx>
        <c:axId val="584398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4396880"/>
        <c:crosses val="autoZero"/>
        <c:auto val="1"/>
        <c:lblAlgn val="ctr"/>
        <c:lblOffset val="100"/>
        <c:noMultiLvlLbl val="0"/>
      </c:catAx>
      <c:valAx>
        <c:axId val="58439688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84398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MAX DU MOIS (Sortie)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Traitement!$E$61:$E$65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Traitement!$F$61:$F$65</c:f>
              <c:numCache>
                <c:formatCode>General</c:formatCode>
                <c:ptCount val="5"/>
                <c:pt idx="0">
                  <c:v>71</c:v>
                </c:pt>
                <c:pt idx="1">
                  <c:v>100</c:v>
                </c:pt>
                <c:pt idx="2">
                  <c:v>187</c:v>
                </c:pt>
                <c:pt idx="3">
                  <c:v>253</c:v>
                </c:pt>
                <c:pt idx="4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AD-4B2A-A707-7B87D5B0652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Traitement!$E$61:$E$65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Traitement!$G$61:$G$65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253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AD-4B2A-A707-7B87D5B0652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26"/>
        <c:overlap val="100"/>
        <c:axId val="1305861936"/>
        <c:axId val="1305860136"/>
      </c:barChart>
      <c:catAx>
        <c:axId val="1305861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5860136"/>
        <c:crosses val="autoZero"/>
        <c:auto val="1"/>
        <c:lblAlgn val="ctr"/>
        <c:lblOffset val="100"/>
        <c:noMultiLvlLbl val="0"/>
      </c:catAx>
      <c:valAx>
        <c:axId val="130586013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0586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[Gestion_de_stock_my_version.xlsm]Traitement!TDC12 - TotalValeur (Entrée)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Total</a:t>
            </a:r>
            <a:r>
              <a:rPr lang="fr-FR" baseline="0"/>
              <a:t>Valeur (Entrée)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gradFill>
            <a:gsLst>
              <a:gs pos="27000">
                <a:schemeClr val="accent1">
                  <a:lumMod val="5000"/>
                  <a:lumOff val="95000"/>
                </a:schemeClr>
              </a:gs>
              <a:gs pos="75000">
                <a:schemeClr val="accent1">
                  <a:alpha val="50000"/>
                  <a:lumMod val="25000"/>
                  <a:lumOff val="75000"/>
                </a:schemeClr>
              </a:gs>
            </a:gsLst>
            <a:lin ang="5400000" scaled="1"/>
          </a:gra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 w="25400">
            <a:noFill/>
          </a:ln>
          <a:effectLst/>
        </c:spPr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Traitement!$B$68</c:f>
              <c:strCache>
                <c:ptCount val="1"/>
                <c:pt idx="0">
                  <c:v>Somme de Total</c:v>
                </c:pt>
              </c:strCache>
            </c:strRef>
          </c:tx>
          <c:spPr>
            <a:gradFill>
              <a:gsLst>
                <a:gs pos="27000">
                  <a:schemeClr val="accent1">
                    <a:lumMod val="5000"/>
                    <a:lumOff val="95000"/>
                  </a:schemeClr>
                </a:gs>
                <a:gs pos="75000">
                  <a:schemeClr val="accent1">
                    <a:alpha val="50000"/>
                    <a:lumMod val="25000"/>
                    <a:lumOff val="75000"/>
                  </a:schemeClr>
                </a:gs>
              </a:gsLst>
              <a:lin ang="5400000" scaled="1"/>
            </a:gradFill>
            <a:ln w="25400">
              <a:noFill/>
            </a:ln>
            <a:effectLst/>
          </c:spPr>
          <c:cat>
            <c:strRef>
              <c:f>Traitement!$A$69:$A$74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Traitement!$B$69:$B$74</c:f>
              <c:numCache>
                <c:formatCode>_-* #,##0\ [$€-40C]_-;\-* #,##0\ [$€-40C]_-;_-* "-"??\ [$€-40C]_-;_-@_-</c:formatCode>
                <c:ptCount val="5"/>
                <c:pt idx="0">
                  <c:v>51548</c:v>
                </c:pt>
                <c:pt idx="1">
                  <c:v>76664.399999999994</c:v>
                </c:pt>
                <c:pt idx="2">
                  <c:v>38248</c:v>
                </c:pt>
                <c:pt idx="3">
                  <c:v>48081.15</c:v>
                </c:pt>
                <c:pt idx="4">
                  <c:v>76887.399999999994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939-4EC1-89D9-671E89E7C2E8}"/>
            </c:ext>
          </c:extLst>
        </c:ser>
        <c:ser>
          <c:idx val="1"/>
          <c:order val="1"/>
          <c:tx>
            <c:strRef>
              <c:f>Traitement!$C$68</c:f>
              <c:strCache>
                <c:ptCount val="1"/>
                <c:pt idx="0">
                  <c:v>Somme de Total2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Traitement!$A$69:$A$74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Traitement!$C$69:$C$74</c:f>
              <c:numCache>
                <c:formatCode>_-* #,##0\ [$€-40C]_-;\-* #,##0\ [$€-40C]_-;_-* "-"??\ [$€-40C]_-;_-@_-</c:formatCode>
                <c:ptCount val="5"/>
                <c:pt idx="0">
                  <c:v>51548</c:v>
                </c:pt>
                <c:pt idx="1">
                  <c:v>76664.399999999994</c:v>
                </c:pt>
                <c:pt idx="2">
                  <c:v>38248</c:v>
                </c:pt>
                <c:pt idx="3">
                  <c:v>48081.15</c:v>
                </c:pt>
                <c:pt idx="4">
                  <c:v>76887.399999999994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939-4EC1-89D9-671E89E7C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3468000"/>
        <c:axId val="823473400"/>
      </c:areaChart>
      <c:catAx>
        <c:axId val="823468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23473400"/>
        <c:crosses val="autoZero"/>
        <c:auto val="1"/>
        <c:lblAlgn val="ctr"/>
        <c:lblOffset val="100"/>
        <c:noMultiLvlLbl val="0"/>
      </c:catAx>
      <c:valAx>
        <c:axId val="823473400"/>
        <c:scaling>
          <c:orientation val="minMax"/>
        </c:scaling>
        <c:delete val="1"/>
        <c:axPos val="l"/>
        <c:numFmt formatCode="_-* #,##0\ [$€-40C]_-;\-* #,##0\ [$€-40C]_-;_-* &quot;-&quot;??\ [$€-40C]_-;_-@_-" sourceLinked="1"/>
        <c:majorTickMark val="none"/>
        <c:minorTickMark val="none"/>
        <c:tickLblPos val="nextTo"/>
        <c:crossAx val="823468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[Gestion_de_stock_my_version.xlsm]Traitement!TDC12 - TotalValeur (Sortie)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TotalValeur (Sortie)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gradFill>
            <a:gsLst>
              <a:gs pos="75000">
                <a:schemeClr val="accent1">
                  <a:alpha val="50000"/>
                  <a:lumMod val="25000"/>
                  <a:lumOff val="75000"/>
                </a:schemeClr>
              </a:gs>
              <a:gs pos="75000">
                <a:schemeClr val="accent1">
                  <a:alpha val="50000"/>
                  <a:lumMod val="25000"/>
                  <a:lumOff val="75000"/>
                </a:schemeClr>
              </a:gs>
            </a:gsLst>
            <a:lin ang="5400000" scaled="1"/>
          </a:gra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Traitement!$B$76</c:f>
              <c:strCache>
                <c:ptCount val="1"/>
                <c:pt idx="0">
                  <c:v>Somme de Total</c:v>
                </c:pt>
              </c:strCache>
            </c:strRef>
          </c:tx>
          <c:spPr>
            <a:gradFill>
              <a:gsLst>
                <a:gs pos="75000">
                  <a:schemeClr val="accent1">
                    <a:alpha val="50000"/>
                    <a:lumMod val="25000"/>
                    <a:lumOff val="75000"/>
                  </a:schemeClr>
                </a:gs>
                <a:gs pos="75000">
                  <a:schemeClr val="accent1">
                    <a:alpha val="50000"/>
                    <a:lumMod val="25000"/>
                    <a:lumOff val="75000"/>
                  </a:schemeClr>
                </a:gs>
              </a:gsLst>
              <a:lin ang="5400000" scaled="1"/>
            </a:gradFill>
            <a:ln w="25400">
              <a:noFill/>
            </a:ln>
            <a:effectLst/>
          </c:spPr>
          <c:cat>
            <c:strRef>
              <c:f>Traitement!$A$77:$A$82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Traitement!$B$77:$B$82</c:f>
              <c:numCache>
                <c:formatCode>_-* #,##0\ [$€-40C]_-;\-* #,##0\ [$€-40C]_-;_-* "-"??\ [$€-40C]_-;_-@_-</c:formatCode>
                <c:ptCount val="5"/>
                <c:pt idx="0">
                  <c:v>38385.299999999996</c:v>
                </c:pt>
                <c:pt idx="1">
                  <c:v>60319.5</c:v>
                </c:pt>
                <c:pt idx="2">
                  <c:v>69065</c:v>
                </c:pt>
                <c:pt idx="3">
                  <c:v>74985</c:v>
                </c:pt>
                <c:pt idx="4">
                  <c:v>55176.2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F83-4DB3-BAFC-49841FB010E4}"/>
            </c:ext>
          </c:extLst>
        </c:ser>
        <c:ser>
          <c:idx val="1"/>
          <c:order val="1"/>
          <c:tx>
            <c:strRef>
              <c:f>Traitement!$C$76</c:f>
              <c:strCache>
                <c:ptCount val="1"/>
                <c:pt idx="0">
                  <c:v>Somme de Total2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Traitement!$A$77:$A$82</c:f>
              <c:strCache>
                <c:ptCount val="5"/>
                <c:pt idx="0">
                  <c:v>janv</c:v>
                </c:pt>
                <c:pt idx="1">
                  <c:v>févr</c:v>
                </c:pt>
                <c:pt idx="2">
                  <c:v>mars</c:v>
                </c:pt>
                <c:pt idx="3">
                  <c:v>avr</c:v>
                </c:pt>
                <c:pt idx="4">
                  <c:v>mai</c:v>
                </c:pt>
              </c:strCache>
            </c:strRef>
          </c:cat>
          <c:val>
            <c:numRef>
              <c:f>Traitement!$C$77:$C$82</c:f>
              <c:numCache>
                <c:formatCode>_-* #,##0\ [$€-40C]_-;\-* #,##0\ [$€-40C]_-;_-* "-"??\ [$€-40C]_-;_-@_-</c:formatCode>
                <c:ptCount val="5"/>
                <c:pt idx="0">
                  <c:v>38385.299999999996</c:v>
                </c:pt>
                <c:pt idx="1">
                  <c:v>60319.5</c:v>
                </c:pt>
                <c:pt idx="2">
                  <c:v>69065</c:v>
                </c:pt>
                <c:pt idx="3">
                  <c:v>74985</c:v>
                </c:pt>
                <c:pt idx="4">
                  <c:v>55176.2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F83-4DB3-BAFC-49841FB010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3956128"/>
        <c:axId val="703957568"/>
      </c:areaChart>
      <c:catAx>
        <c:axId val="703956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3957568"/>
        <c:crosses val="autoZero"/>
        <c:auto val="1"/>
        <c:lblAlgn val="ctr"/>
        <c:lblOffset val="100"/>
        <c:noMultiLvlLbl val="0"/>
      </c:catAx>
      <c:valAx>
        <c:axId val="703957568"/>
        <c:scaling>
          <c:orientation val="minMax"/>
        </c:scaling>
        <c:delete val="1"/>
        <c:axPos val="l"/>
        <c:numFmt formatCode="_-* #,##0\ [$€-40C]_-;\-* #,##0\ [$€-40C]_-;_-* &quot;-&quot;??\ [$€-40C]_-;_-@_-" sourceLinked="1"/>
        <c:majorTickMark val="none"/>
        <c:minorTickMark val="none"/>
        <c:tickLblPos val="nextTo"/>
        <c:crossAx val="703956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[Gestion_de_stock_my_version.xlsm]Traitement!TDC13 - TOP 3 Produits vendus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3 Produits vendus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Traitement!$B$84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Traitement!$A$85:$A$88</c:f>
              <c:strCache>
                <c:ptCount val="3"/>
                <c:pt idx="0">
                  <c:v>Cuisinière CANDY</c:v>
                </c:pt>
                <c:pt idx="1">
                  <c:v>GOOGLE PIXEL 5</c:v>
                </c:pt>
                <c:pt idx="2">
                  <c:v>IPHONE 13 PRO</c:v>
                </c:pt>
              </c:strCache>
            </c:strRef>
          </c:cat>
          <c:val>
            <c:numRef>
              <c:f>Traitement!$B$85:$B$88</c:f>
              <c:numCache>
                <c:formatCode>_-* #,##0\ [$€-40C]_-;\-* #,##0\ [$€-40C]_-;_-* "-"??\ [$€-40C]_-;_-@_-</c:formatCode>
                <c:ptCount val="3"/>
                <c:pt idx="0">
                  <c:v>35400</c:v>
                </c:pt>
                <c:pt idx="1">
                  <c:v>42010</c:v>
                </c:pt>
                <c:pt idx="2">
                  <c:v>129500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7F-4982-B2A5-E659367610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86322528"/>
        <c:axId val="1286322888"/>
      </c:barChart>
      <c:catAx>
        <c:axId val="12863225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86322888"/>
        <c:crosses val="autoZero"/>
        <c:auto val="1"/>
        <c:lblAlgn val="ctr"/>
        <c:lblOffset val="100"/>
        <c:noMultiLvlLbl val="0"/>
      </c:catAx>
      <c:valAx>
        <c:axId val="1286322888"/>
        <c:scaling>
          <c:orientation val="minMax"/>
        </c:scaling>
        <c:delete val="1"/>
        <c:axPos val="b"/>
        <c:numFmt formatCode="_-* #,##0\ [$€-40C]_-;\-* #,##0\ [$€-40C]_-;_-* &quot;-&quot;??\ [$€-40C]_-;_-@_-" sourceLinked="1"/>
        <c:majorTickMark val="none"/>
        <c:minorTickMark val="none"/>
        <c:tickLblPos val="nextTo"/>
        <c:crossAx val="128632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13" Type="http://schemas.openxmlformats.org/officeDocument/2006/relationships/chart" Target="../charts/chart7.xml"/><Relationship Id="rId18" Type="http://schemas.openxmlformats.org/officeDocument/2006/relationships/image" Target="../media/image7.png"/><Relationship Id="rId3" Type="http://schemas.openxmlformats.org/officeDocument/2006/relationships/image" Target="../media/image3.png"/><Relationship Id="rId21" Type="http://schemas.openxmlformats.org/officeDocument/2006/relationships/image" Target="../media/image10.png"/><Relationship Id="rId7" Type="http://schemas.openxmlformats.org/officeDocument/2006/relationships/chart" Target="../charts/chart1.xml"/><Relationship Id="rId12" Type="http://schemas.openxmlformats.org/officeDocument/2006/relationships/chart" Target="../charts/chart6.xml"/><Relationship Id="rId17" Type="http://schemas.openxmlformats.org/officeDocument/2006/relationships/chart" Target="../charts/chart11.xml"/><Relationship Id="rId2" Type="http://schemas.openxmlformats.org/officeDocument/2006/relationships/image" Target="../media/image2.png"/><Relationship Id="rId16" Type="http://schemas.openxmlformats.org/officeDocument/2006/relationships/chart" Target="../charts/chart10.xml"/><Relationship Id="rId20" Type="http://schemas.openxmlformats.org/officeDocument/2006/relationships/image" Target="../media/image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5.xml"/><Relationship Id="rId5" Type="http://schemas.openxmlformats.org/officeDocument/2006/relationships/image" Target="../media/image5.png"/><Relationship Id="rId15" Type="http://schemas.openxmlformats.org/officeDocument/2006/relationships/chart" Target="../charts/chart9.xml"/><Relationship Id="rId10" Type="http://schemas.openxmlformats.org/officeDocument/2006/relationships/chart" Target="../charts/chart4.xml"/><Relationship Id="rId19" Type="http://schemas.openxmlformats.org/officeDocument/2006/relationships/image" Target="../media/image8.png"/><Relationship Id="rId4" Type="http://schemas.openxmlformats.org/officeDocument/2006/relationships/image" Target="../media/image4.png"/><Relationship Id="rId9" Type="http://schemas.openxmlformats.org/officeDocument/2006/relationships/chart" Target="../charts/chart3.xml"/><Relationship Id="rId14" Type="http://schemas.openxmlformats.org/officeDocument/2006/relationships/chart" Target="../charts/chart8.xml"/><Relationship Id="rId22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104020</xdr:rowOff>
    </xdr:from>
    <xdr:to>
      <xdr:col>7</xdr:col>
      <xdr:colOff>215523</xdr:colOff>
      <xdr:row>3</xdr:row>
      <xdr:rowOff>135734</xdr:rowOff>
    </xdr:to>
    <xdr:sp macro="" textlink="Traitement!A2">
      <xdr:nvSpPr>
        <xdr:cNvPr id="2" name="Rectangle : coins arrondis 1">
          <a:extLst>
            <a:ext uri="{FF2B5EF4-FFF2-40B4-BE49-F238E27FC236}">
              <a16:creationId xmlns:a16="http://schemas.microsoft.com/office/drawing/2014/main" id="{C85BFEA4-18C0-4C22-8B1E-CDA43E2F94D0}"/>
            </a:ext>
          </a:extLst>
        </xdr:cNvPr>
        <xdr:cNvSpPr/>
      </xdr:nvSpPr>
      <xdr:spPr>
        <a:xfrm>
          <a:off x="3169920" y="104020"/>
          <a:ext cx="1800483" cy="580354"/>
        </a:xfrm>
        <a:prstGeom prst="roundRect">
          <a:avLst/>
        </a:prstGeom>
        <a:solidFill>
          <a:srgbClr val="462B4B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fld id="{D6A5E622-CFA3-45B3-9670-EB6B3E7461E6}" type="TxLink">
            <a:rPr lang="en-US" sz="16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366</a:t>
          </a:fld>
          <a:endParaRPr lang="fr-FR" sz="16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7</xdr:col>
      <xdr:colOff>444620</xdr:colOff>
      <xdr:row>0</xdr:row>
      <xdr:rowOff>104020</xdr:rowOff>
    </xdr:from>
    <xdr:to>
      <xdr:col>9</xdr:col>
      <xdr:colOff>660144</xdr:colOff>
      <xdr:row>3</xdr:row>
      <xdr:rowOff>135734</xdr:rowOff>
    </xdr:to>
    <xdr:sp macro="" textlink="Traitement!B2">
      <xdr:nvSpPr>
        <xdr:cNvPr id="3" name="Rectangle : coins arrondis 2">
          <a:extLst>
            <a:ext uri="{FF2B5EF4-FFF2-40B4-BE49-F238E27FC236}">
              <a16:creationId xmlns:a16="http://schemas.microsoft.com/office/drawing/2014/main" id="{86F22100-4821-4B79-9F70-FF02CDF84DFF}"/>
            </a:ext>
          </a:extLst>
        </xdr:cNvPr>
        <xdr:cNvSpPr/>
      </xdr:nvSpPr>
      <xdr:spPr>
        <a:xfrm>
          <a:off x="5199500" y="104020"/>
          <a:ext cx="1800484" cy="580354"/>
        </a:xfrm>
        <a:prstGeom prst="roundRect">
          <a:avLst/>
        </a:prstGeom>
        <a:solidFill>
          <a:srgbClr val="462B4B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b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fld id="{09488DC1-BF4E-4DD3-9289-859047ED49E4}" type="TxLink">
            <a:rPr lang="en-US" sz="16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marL="0" indent="0" algn="l"/>
            <a:t> 54 852,09 € </a:t>
          </a:fld>
          <a:endParaRPr lang="fr-FR" sz="16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97003</xdr:colOff>
      <xdr:row>0</xdr:row>
      <xdr:rowOff>104020</xdr:rowOff>
    </xdr:from>
    <xdr:to>
      <xdr:col>12</xdr:col>
      <xdr:colOff>312527</xdr:colOff>
      <xdr:row>3</xdr:row>
      <xdr:rowOff>135734</xdr:rowOff>
    </xdr:to>
    <xdr:sp macro="" textlink="Traitement!A5">
      <xdr:nvSpPr>
        <xdr:cNvPr id="4" name="Rectangle : coins arrondis 3">
          <a:extLst>
            <a:ext uri="{FF2B5EF4-FFF2-40B4-BE49-F238E27FC236}">
              <a16:creationId xmlns:a16="http://schemas.microsoft.com/office/drawing/2014/main" id="{DC12534B-F91A-47E6-B97B-FA6DF9B6543E}"/>
            </a:ext>
          </a:extLst>
        </xdr:cNvPr>
        <xdr:cNvSpPr/>
      </xdr:nvSpPr>
      <xdr:spPr>
        <a:xfrm>
          <a:off x="7229323" y="104020"/>
          <a:ext cx="1800484" cy="580354"/>
        </a:xfrm>
        <a:prstGeom prst="roundRect">
          <a:avLst/>
        </a:prstGeom>
        <a:solidFill>
          <a:srgbClr val="462B4B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b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fld id="{03DB1EB1-8401-418D-BCC3-57C08FEF87A8}" type="TxLink">
            <a:rPr lang="en-US" sz="16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marL="0" indent="0" algn="l"/>
            <a:t>992</a:t>
          </a:fld>
          <a:endParaRPr lang="fr-FR" sz="16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12</xdr:col>
      <xdr:colOff>541624</xdr:colOff>
      <xdr:row>0</xdr:row>
      <xdr:rowOff>104020</xdr:rowOff>
    </xdr:from>
    <xdr:to>
      <xdr:col>14</xdr:col>
      <xdr:colOff>757148</xdr:colOff>
      <xdr:row>3</xdr:row>
      <xdr:rowOff>135734</xdr:rowOff>
    </xdr:to>
    <xdr:sp macro="" textlink="Traitement!B5">
      <xdr:nvSpPr>
        <xdr:cNvPr id="5" name="Rectangle : coins arrondis 4">
          <a:extLst>
            <a:ext uri="{FF2B5EF4-FFF2-40B4-BE49-F238E27FC236}">
              <a16:creationId xmlns:a16="http://schemas.microsoft.com/office/drawing/2014/main" id="{CA49BE27-67EE-48D8-B69A-C8FC8C746F67}"/>
            </a:ext>
          </a:extLst>
        </xdr:cNvPr>
        <xdr:cNvSpPr/>
      </xdr:nvSpPr>
      <xdr:spPr>
        <a:xfrm>
          <a:off x="9258904" y="104020"/>
          <a:ext cx="1800484" cy="580354"/>
        </a:xfrm>
        <a:prstGeom prst="roundRect">
          <a:avLst/>
        </a:prstGeom>
        <a:solidFill>
          <a:srgbClr val="462B4B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b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fld id="{087A3761-9FAC-4680-BD6D-D90BC8B2EB8F}" type="TxLink">
            <a:rPr lang="en-US" sz="16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marL="0" indent="0" algn="l"/>
            <a:t> 291 428,95 € </a:t>
          </a:fld>
          <a:endParaRPr lang="fr-FR" sz="16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15</xdr:col>
      <xdr:colOff>194007</xdr:colOff>
      <xdr:row>0</xdr:row>
      <xdr:rowOff>104020</xdr:rowOff>
    </xdr:from>
    <xdr:to>
      <xdr:col>17</xdr:col>
      <xdr:colOff>409530</xdr:colOff>
      <xdr:row>3</xdr:row>
      <xdr:rowOff>135734</xdr:rowOff>
    </xdr:to>
    <xdr:sp macro="" textlink="Traitement!A8">
      <xdr:nvSpPr>
        <xdr:cNvPr id="6" name="Rectangle : coins arrondis 5">
          <a:extLst>
            <a:ext uri="{FF2B5EF4-FFF2-40B4-BE49-F238E27FC236}">
              <a16:creationId xmlns:a16="http://schemas.microsoft.com/office/drawing/2014/main" id="{B72DF586-6AC9-4D76-BFF5-F6B456B8AE56}"/>
            </a:ext>
          </a:extLst>
        </xdr:cNvPr>
        <xdr:cNvSpPr/>
      </xdr:nvSpPr>
      <xdr:spPr>
        <a:xfrm>
          <a:off x="11288727" y="104020"/>
          <a:ext cx="1800483" cy="580354"/>
        </a:xfrm>
        <a:prstGeom prst="roundRect">
          <a:avLst/>
        </a:prstGeom>
        <a:solidFill>
          <a:srgbClr val="462B4B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b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fld id="{763F1B54-23CC-4B2C-BA28-3BA9EB00004D}" type="TxLink">
            <a:rPr lang="en-US" sz="16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marL="0" indent="0" algn="l"/>
            <a:t>702</a:t>
          </a:fld>
          <a:endParaRPr lang="fr-FR" sz="16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17</xdr:col>
      <xdr:colOff>638628</xdr:colOff>
      <xdr:row>0</xdr:row>
      <xdr:rowOff>104020</xdr:rowOff>
    </xdr:from>
    <xdr:to>
      <xdr:col>20</xdr:col>
      <xdr:colOff>61914</xdr:colOff>
      <xdr:row>3</xdr:row>
      <xdr:rowOff>135734</xdr:rowOff>
    </xdr:to>
    <xdr:sp macro="" textlink="Traitement!B8">
      <xdr:nvSpPr>
        <xdr:cNvPr id="7" name="Rectangle : coins arrondis 6">
          <a:extLst>
            <a:ext uri="{FF2B5EF4-FFF2-40B4-BE49-F238E27FC236}">
              <a16:creationId xmlns:a16="http://schemas.microsoft.com/office/drawing/2014/main" id="{5F6E85B1-C6C7-4BAF-ABAF-7518F613C9B7}"/>
            </a:ext>
          </a:extLst>
        </xdr:cNvPr>
        <xdr:cNvSpPr/>
      </xdr:nvSpPr>
      <xdr:spPr>
        <a:xfrm>
          <a:off x="13318308" y="104020"/>
          <a:ext cx="1800726" cy="580354"/>
        </a:xfrm>
        <a:prstGeom prst="roundRect">
          <a:avLst/>
        </a:prstGeom>
        <a:solidFill>
          <a:srgbClr val="462B4B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b" anchorCtr="0" forceAA="0" compatLnSpc="1">
          <a:prstTxWarp prst="textNoShape">
            <a:avLst/>
          </a:prstTxWarp>
          <a:noAutofit/>
        </a:bodyPr>
        <a:lstStyle/>
        <a:p>
          <a:pPr marL="0" indent="0" algn="l"/>
          <a:fld id="{0A09772A-4A6A-42C4-9157-D7FD65AD9CE2}" type="TxLink">
            <a:rPr lang="en-US" sz="16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marL="0" indent="0" algn="l"/>
            <a:t> 297 931,00 € </a:t>
          </a:fld>
          <a:endParaRPr lang="fr-FR" sz="16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4</xdr:col>
      <xdr:colOff>792237</xdr:colOff>
      <xdr:row>5</xdr:row>
      <xdr:rowOff>66524</xdr:rowOff>
    </xdr:from>
    <xdr:to>
      <xdr:col>9</xdr:col>
      <xdr:colOff>683046</xdr:colOff>
      <xdr:row>14</xdr:row>
      <xdr:rowOff>32067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10178334-492B-444C-8CDE-6760007065A4}"/>
            </a:ext>
          </a:extLst>
        </xdr:cNvPr>
        <xdr:cNvSpPr/>
      </xdr:nvSpPr>
      <xdr:spPr>
        <a:xfrm>
          <a:off x="3171543" y="980146"/>
          <a:ext cx="3856319" cy="1610064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101598</xdr:colOff>
      <xdr:row>5</xdr:row>
      <xdr:rowOff>66524</xdr:rowOff>
    </xdr:from>
    <xdr:to>
      <xdr:col>20</xdr:col>
      <xdr:colOff>139094</xdr:colOff>
      <xdr:row>14</xdr:row>
      <xdr:rowOff>32067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7C12C9B5-5419-43A2-8234-9C1F4D10CD58}"/>
            </a:ext>
          </a:extLst>
        </xdr:cNvPr>
        <xdr:cNvSpPr/>
      </xdr:nvSpPr>
      <xdr:spPr>
        <a:xfrm>
          <a:off x="7239516" y="980146"/>
          <a:ext cx="7968517" cy="1610064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792237</xdr:colOff>
      <xdr:row>15</xdr:row>
      <xdr:rowOff>155424</xdr:rowOff>
    </xdr:from>
    <xdr:to>
      <xdr:col>9</xdr:col>
      <xdr:colOff>683046</xdr:colOff>
      <xdr:row>24</xdr:row>
      <xdr:rowOff>120967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5556FFC8-BAB1-413B-B4B2-4D8B8D2A3BDE}"/>
            </a:ext>
          </a:extLst>
        </xdr:cNvPr>
        <xdr:cNvSpPr/>
      </xdr:nvSpPr>
      <xdr:spPr>
        <a:xfrm>
          <a:off x="3171543" y="2896291"/>
          <a:ext cx="3856319" cy="1610064"/>
        </a:xfrm>
        <a:prstGeom prst="roundRect">
          <a:avLst/>
        </a:prstGeom>
        <a:solidFill>
          <a:srgbClr val="F2E9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792237</xdr:colOff>
      <xdr:row>26</xdr:row>
      <xdr:rowOff>62895</xdr:rowOff>
    </xdr:from>
    <xdr:to>
      <xdr:col>9</xdr:col>
      <xdr:colOff>683046</xdr:colOff>
      <xdr:row>35</xdr:row>
      <xdr:rowOff>28438</xdr:rowOff>
    </xdr:to>
    <xdr:sp macro="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8140AA7A-5AA0-41E0-9BDE-81F846E705BB}"/>
            </a:ext>
          </a:extLst>
        </xdr:cNvPr>
        <xdr:cNvSpPr/>
      </xdr:nvSpPr>
      <xdr:spPr>
        <a:xfrm>
          <a:off x="3171543" y="4813732"/>
          <a:ext cx="3856319" cy="1610063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124141</xdr:colOff>
      <xdr:row>15</xdr:row>
      <xdr:rowOff>172961</xdr:rowOff>
    </xdr:from>
    <xdr:to>
      <xdr:col>15</xdr:col>
      <xdr:colOff>14951</xdr:colOff>
      <xdr:row>24</xdr:row>
      <xdr:rowOff>138504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067A9824-05AF-473F-993D-F2BCA36F35D9}"/>
            </a:ext>
          </a:extLst>
        </xdr:cNvPr>
        <xdr:cNvSpPr/>
      </xdr:nvSpPr>
      <xdr:spPr>
        <a:xfrm>
          <a:off x="7262059" y="2913828"/>
          <a:ext cx="3856321" cy="1610064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248285</xdr:colOff>
      <xdr:row>15</xdr:row>
      <xdr:rowOff>162075</xdr:rowOff>
    </xdr:from>
    <xdr:to>
      <xdr:col>20</xdr:col>
      <xdr:colOff>139094</xdr:colOff>
      <xdr:row>24</xdr:row>
      <xdr:rowOff>127618</xdr:rowOff>
    </xdr:to>
    <xdr:sp macro="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8BC77885-7DB5-4100-B690-29A1C420C372}"/>
            </a:ext>
          </a:extLst>
        </xdr:cNvPr>
        <xdr:cNvSpPr/>
      </xdr:nvSpPr>
      <xdr:spPr>
        <a:xfrm>
          <a:off x="11343005" y="2905275"/>
          <a:ext cx="3853209" cy="1611463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124746</xdr:colOff>
      <xdr:row>26</xdr:row>
      <xdr:rowOff>62895</xdr:rowOff>
    </xdr:from>
    <xdr:to>
      <xdr:col>15</xdr:col>
      <xdr:colOff>15556</xdr:colOff>
      <xdr:row>35</xdr:row>
      <xdr:rowOff>28438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9687FA5F-FB1F-411B-A926-A765C82B5AC6}"/>
            </a:ext>
          </a:extLst>
        </xdr:cNvPr>
        <xdr:cNvSpPr/>
      </xdr:nvSpPr>
      <xdr:spPr>
        <a:xfrm>
          <a:off x="7257066" y="4817775"/>
          <a:ext cx="3853210" cy="1611463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249495</xdr:colOff>
      <xdr:row>26</xdr:row>
      <xdr:rowOff>62895</xdr:rowOff>
    </xdr:from>
    <xdr:to>
      <xdr:col>20</xdr:col>
      <xdr:colOff>140304</xdr:colOff>
      <xdr:row>35</xdr:row>
      <xdr:rowOff>28438</xdr:rowOff>
    </xdr:to>
    <xdr:sp macro="" textlink="">
      <xdr:nvSpPr>
        <xdr:cNvPr id="15" name="Rectangle : coins arrondis 14">
          <a:extLst>
            <a:ext uri="{FF2B5EF4-FFF2-40B4-BE49-F238E27FC236}">
              <a16:creationId xmlns:a16="http://schemas.microsoft.com/office/drawing/2014/main" id="{DBC8ECE8-4568-458A-B5CE-87FF7C971857}"/>
            </a:ext>
          </a:extLst>
        </xdr:cNvPr>
        <xdr:cNvSpPr/>
      </xdr:nvSpPr>
      <xdr:spPr>
        <a:xfrm>
          <a:off x="11344215" y="4817775"/>
          <a:ext cx="3853209" cy="1611463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754225</xdr:colOff>
      <xdr:row>0</xdr:row>
      <xdr:rowOff>123631</xdr:rowOff>
    </xdr:from>
    <xdr:to>
      <xdr:col>6</xdr:col>
      <xdr:colOff>101081</xdr:colOff>
      <xdr:row>2</xdr:row>
      <xdr:rowOff>14773</xdr:rowOff>
    </xdr:to>
    <xdr:sp macro="" textlink="">
      <xdr:nvSpPr>
        <xdr:cNvPr id="16" name="ZoneTexte 15">
          <a:extLst>
            <a:ext uri="{FF2B5EF4-FFF2-40B4-BE49-F238E27FC236}">
              <a16:creationId xmlns:a16="http://schemas.microsoft.com/office/drawing/2014/main" id="{DF82D9AE-A36A-4D00-9659-BA73F167676A}"/>
            </a:ext>
          </a:extLst>
        </xdr:cNvPr>
        <xdr:cNvSpPr txBox="1"/>
      </xdr:nvSpPr>
      <xdr:spPr>
        <a:xfrm>
          <a:off x="3133531" y="123631"/>
          <a:ext cx="933060" cy="2565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bg1"/>
              </a:solidFill>
              <a:latin typeface="Georgia" panose="02040502050405020303" pitchFamily="18" charset="0"/>
            </a:rPr>
            <a:t>Stock</a:t>
          </a:r>
          <a:r>
            <a:rPr lang="fr-FR" sz="1100" baseline="0">
              <a:solidFill>
                <a:schemeClr val="bg1"/>
              </a:solidFill>
              <a:latin typeface="Georgia" panose="02040502050405020303" pitchFamily="18" charset="0"/>
            </a:rPr>
            <a:t> Total</a:t>
          </a:r>
          <a:endParaRPr lang="fr-FR" sz="1100">
            <a:solidFill>
              <a:schemeClr val="bg1"/>
            </a:solidFill>
            <a:latin typeface="Georgia" panose="02040502050405020303" pitchFamily="18" charset="0"/>
          </a:endParaRPr>
        </a:p>
      </xdr:txBody>
    </xdr:sp>
    <xdr:clientData/>
  </xdr:twoCellAnchor>
  <xdr:twoCellAnchor>
    <xdr:from>
      <xdr:col>7</xdr:col>
      <xdr:colOff>478972</xdr:colOff>
      <xdr:row>0</xdr:row>
      <xdr:rowOff>123631</xdr:rowOff>
    </xdr:from>
    <xdr:to>
      <xdr:col>9</xdr:col>
      <xdr:colOff>151622</xdr:colOff>
      <xdr:row>2</xdr:row>
      <xdr:rowOff>14773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90AB0718-23E3-4E54-80E8-FE7C9EBF80AB}"/>
            </a:ext>
          </a:extLst>
        </xdr:cNvPr>
        <xdr:cNvSpPr txBox="1"/>
      </xdr:nvSpPr>
      <xdr:spPr>
        <a:xfrm>
          <a:off x="5237584" y="123631"/>
          <a:ext cx="1258854" cy="2565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bg1"/>
              </a:solidFill>
              <a:latin typeface="Georgia" panose="02040502050405020303" pitchFamily="18" charset="0"/>
            </a:rPr>
            <a:t>Valeur de stock</a:t>
          </a:r>
        </a:p>
      </xdr:txBody>
    </xdr:sp>
    <xdr:clientData/>
  </xdr:twoCellAnchor>
  <xdr:twoCellAnchor>
    <xdr:from>
      <xdr:col>10</xdr:col>
      <xdr:colOff>164842</xdr:colOff>
      <xdr:row>0</xdr:row>
      <xdr:rowOff>123631</xdr:rowOff>
    </xdr:from>
    <xdr:to>
      <xdr:col>11</xdr:col>
      <xdr:colOff>641480</xdr:colOff>
      <xdr:row>2</xdr:row>
      <xdr:rowOff>14773</xdr:rowOff>
    </xdr:to>
    <xdr:sp macro="" textlink="">
      <xdr:nvSpPr>
        <xdr:cNvPr id="18" name="ZoneTexte 17">
          <a:extLst>
            <a:ext uri="{FF2B5EF4-FFF2-40B4-BE49-F238E27FC236}">
              <a16:creationId xmlns:a16="http://schemas.microsoft.com/office/drawing/2014/main" id="{7392480A-A103-4B18-BB1D-F5A9FDA79B40}"/>
            </a:ext>
          </a:extLst>
        </xdr:cNvPr>
        <xdr:cNvSpPr txBox="1"/>
      </xdr:nvSpPr>
      <xdr:spPr>
        <a:xfrm>
          <a:off x="7302760" y="123631"/>
          <a:ext cx="1269740" cy="2565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bg1"/>
              </a:solidFill>
              <a:latin typeface="Georgia" panose="02040502050405020303" pitchFamily="18" charset="0"/>
            </a:rPr>
            <a:t>Total des entrées</a:t>
          </a:r>
        </a:p>
      </xdr:txBody>
    </xdr:sp>
    <xdr:clientData/>
  </xdr:twoCellAnchor>
  <xdr:twoCellAnchor>
    <xdr:from>
      <xdr:col>12</xdr:col>
      <xdr:colOff>538844</xdr:colOff>
      <xdr:row>0</xdr:row>
      <xdr:rowOff>123631</xdr:rowOff>
    </xdr:from>
    <xdr:to>
      <xdr:col>14</xdr:col>
      <xdr:colOff>314907</xdr:colOff>
      <xdr:row>2</xdr:row>
      <xdr:rowOff>14773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03281D02-BD8C-47BD-BC8D-ADA07B6D1200}"/>
            </a:ext>
          </a:extLst>
        </xdr:cNvPr>
        <xdr:cNvSpPr txBox="1"/>
      </xdr:nvSpPr>
      <xdr:spPr>
        <a:xfrm>
          <a:off x="9262966" y="123631"/>
          <a:ext cx="1362268" cy="2565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bg1"/>
              </a:solidFill>
              <a:latin typeface="Georgia" panose="02040502050405020303" pitchFamily="18" charset="0"/>
            </a:rPr>
            <a:t>Valeur des entrées</a:t>
          </a:r>
        </a:p>
      </xdr:txBody>
    </xdr:sp>
    <xdr:clientData/>
  </xdr:twoCellAnchor>
  <xdr:twoCellAnchor>
    <xdr:from>
      <xdr:col>15</xdr:col>
      <xdr:colOff>178059</xdr:colOff>
      <xdr:row>0</xdr:row>
      <xdr:rowOff>123631</xdr:rowOff>
    </xdr:from>
    <xdr:to>
      <xdr:col>16</xdr:col>
      <xdr:colOff>579275</xdr:colOff>
      <xdr:row>2</xdr:row>
      <xdr:rowOff>14773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9B6560A7-8064-429B-B10A-B826195EBE63}"/>
            </a:ext>
          </a:extLst>
        </xdr:cNvPr>
        <xdr:cNvSpPr txBox="1"/>
      </xdr:nvSpPr>
      <xdr:spPr>
        <a:xfrm>
          <a:off x="11281488" y="123631"/>
          <a:ext cx="1194318" cy="2565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bg1"/>
              </a:solidFill>
              <a:latin typeface="Georgia" panose="02040502050405020303" pitchFamily="18" charset="0"/>
            </a:rPr>
            <a:t>Total des sorties</a:t>
          </a:r>
        </a:p>
      </xdr:txBody>
    </xdr:sp>
    <xdr:clientData/>
  </xdr:twoCellAnchor>
  <xdr:twoCellAnchor>
    <xdr:from>
      <xdr:col>17</xdr:col>
      <xdr:colOff>645367</xdr:colOff>
      <xdr:row>0</xdr:row>
      <xdr:rowOff>123631</xdr:rowOff>
    </xdr:from>
    <xdr:to>
      <xdr:col>19</xdr:col>
      <xdr:colOff>353784</xdr:colOff>
      <xdr:row>2</xdr:row>
      <xdr:rowOff>14773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19E28546-1FC4-4E8E-B6B8-42961417A611}"/>
            </a:ext>
          </a:extLst>
        </xdr:cNvPr>
        <xdr:cNvSpPr txBox="1"/>
      </xdr:nvSpPr>
      <xdr:spPr>
        <a:xfrm>
          <a:off x="13335000" y="123631"/>
          <a:ext cx="1294621" cy="2565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bg1"/>
              </a:solidFill>
              <a:latin typeface="Georgia" panose="02040502050405020303" pitchFamily="18" charset="0"/>
            </a:rPr>
            <a:t>Valeur des sorties</a:t>
          </a:r>
        </a:p>
      </xdr:txBody>
    </xdr:sp>
    <xdr:clientData/>
  </xdr:twoCellAnchor>
  <xdr:oneCellAnchor>
    <xdr:from>
      <xdr:col>6</xdr:col>
      <xdr:colOff>672582</xdr:colOff>
      <xdr:row>1</xdr:row>
      <xdr:rowOff>181746</xdr:rowOff>
    </xdr:from>
    <xdr:ext cx="288000" cy="288000"/>
    <xdr:pic>
      <xdr:nvPicPr>
        <xdr:cNvPr id="22" name="Image 21">
          <a:extLst>
            <a:ext uri="{FF2B5EF4-FFF2-40B4-BE49-F238E27FC236}">
              <a16:creationId xmlns:a16="http://schemas.microsoft.com/office/drawing/2014/main" id="{DB32D04B-B163-4D60-A4DD-E83A4A63B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34982" y="364626"/>
          <a:ext cx="288000" cy="288000"/>
        </a:xfrm>
        <a:prstGeom prst="rect">
          <a:avLst/>
        </a:prstGeom>
      </xdr:spPr>
    </xdr:pic>
    <xdr:clientData/>
  </xdr:oneCellAnchor>
  <xdr:oneCellAnchor>
    <xdr:from>
      <xdr:col>11</xdr:col>
      <xdr:colOff>768606</xdr:colOff>
      <xdr:row>1</xdr:row>
      <xdr:rowOff>181746</xdr:rowOff>
    </xdr:from>
    <xdr:ext cx="288000" cy="288000"/>
    <xdr:pic>
      <xdr:nvPicPr>
        <xdr:cNvPr id="23" name="Image 22">
          <a:extLst>
            <a:ext uri="{FF2B5EF4-FFF2-40B4-BE49-F238E27FC236}">
              <a16:creationId xmlns:a16="http://schemas.microsoft.com/office/drawing/2014/main" id="{B9222ED9-D12A-4C74-BF0F-CEB99C193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93406" y="364626"/>
          <a:ext cx="288000" cy="288000"/>
        </a:xfrm>
        <a:prstGeom prst="rect">
          <a:avLst/>
        </a:prstGeom>
      </xdr:spPr>
    </xdr:pic>
    <xdr:clientData/>
  </xdr:oneCellAnchor>
  <xdr:oneCellAnchor>
    <xdr:from>
      <xdr:col>9</xdr:col>
      <xdr:colOff>324043</xdr:colOff>
      <xdr:row>1</xdr:row>
      <xdr:rowOff>181746</xdr:rowOff>
    </xdr:from>
    <xdr:ext cx="288000" cy="288000"/>
    <xdr:pic>
      <xdr:nvPicPr>
        <xdr:cNvPr id="24" name="Image 23">
          <a:extLst>
            <a:ext uri="{FF2B5EF4-FFF2-40B4-BE49-F238E27FC236}">
              <a16:creationId xmlns:a16="http://schemas.microsoft.com/office/drawing/2014/main" id="{AA25ED97-FFA7-4BF3-BB54-58C9A093C9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3883" y="364626"/>
          <a:ext cx="288000" cy="288000"/>
        </a:xfrm>
        <a:prstGeom prst="rect">
          <a:avLst/>
        </a:prstGeom>
      </xdr:spPr>
    </xdr:pic>
    <xdr:clientData/>
  </xdr:oneCellAnchor>
  <xdr:oneCellAnchor>
    <xdr:from>
      <xdr:col>19</xdr:col>
      <xdr:colOff>516091</xdr:colOff>
      <xdr:row>1</xdr:row>
      <xdr:rowOff>181746</xdr:rowOff>
    </xdr:from>
    <xdr:ext cx="288000" cy="288000"/>
    <xdr:pic>
      <xdr:nvPicPr>
        <xdr:cNvPr id="25" name="Image 24">
          <a:extLst>
            <a:ext uri="{FF2B5EF4-FFF2-40B4-BE49-F238E27FC236}">
              <a16:creationId xmlns:a16="http://schemas.microsoft.com/office/drawing/2014/main" id="{E6C0EDA5-6B34-443C-8910-9002666D2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80731" y="364626"/>
          <a:ext cx="288000" cy="288000"/>
        </a:xfrm>
        <a:prstGeom prst="rect">
          <a:avLst/>
        </a:prstGeom>
      </xdr:spPr>
    </xdr:pic>
    <xdr:clientData/>
  </xdr:oneCellAnchor>
  <xdr:oneCellAnchor>
    <xdr:from>
      <xdr:col>17</xdr:col>
      <xdr:colOff>71527</xdr:colOff>
      <xdr:row>1</xdr:row>
      <xdr:rowOff>181746</xdr:rowOff>
    </xdr:from>
    <xdr:ext cx="288000" cy="288000"/>
    <xdr:pic>
      <xdr:nvPicPr>
        <xdr:cNvPr id="26" name="Image 25">
          <a:extLst>
            <a:ext uri="{FF2B5EF4-FFF2-40B4-BE49-F238E27FC236}">
              <a16:creationId xmlns:a16="http://schemas.microsoft.com/office/drawing/2014/main" id="{1176EB04-8E35-4C66-AF24-A62FF7367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1207" y="364626"/>
          <a:ext cx="288000" cy="288000"/>
        </a:xfrm>
        <a:prstGeom prst="rect">
          <a:avLst/>
        </a:prstGeom>
      </xdr:spPr>
    </xdr:pic>
    <xdr:clientData/>
  </xdr:oneCellAnchor>
  <xdr:oneCellAnchor>
    <xdr:from>
      <xdr:col>14</xdr:col>
      <xdr:colOff>420066</xdr:colOff>
      <xdr:row>1</xdr:row>
      <xdr:rowOff>181746</xdr:rowOff>
    </xdr:from>
    <xdr:ext cx="288000" cy="288000"/>
    <xdr:pic>
      <xdr:nvPicPr>
        <xdr:cNvPr id="27" name="Image 26">
          <a:extLst>
            <a:ext uri="{FF2B5EF4-FFF2-40B4-BE49-F238E27FC236}">
              <a16:creationId xmlns:a16="http://schemas.microsoft.com/office/drawing/2014/main" id="{95510295-52C8-42B1-8979-9577BA675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22306" y="364626"/>
          <a:ext cx="288000" cy="288000"/>
        </a:xfrm>
        <a:prstGeom prst="rect">
          <a:avLst/>
        </a:prstGeom>
      </xdr:spPr>
    </xdr:pic>
    <xdr:clientData/>
  </xdr:oneCellAnchor>
  <xdr:twoCellAnchor>
    <xdr:from>
      <xdr:col>5</xdr:col>
      <xdr:colOff>723121</xdr:colOff>
      <xdr:row>6</xdr:row>
      <xdr:rowOff>143845</xdr:rowOff>
    </xdr:from>
    <xdr:to>
      <xdr:col>6</xdr:col>
      <xdr:colOff>758019</xdr:colOff>
      <xdr:row>11</xdr:row>
      <xdr:rowOff>58223</xdr:rowOff>
    </xdr:to>
    <xdr:sp macro="" textlink="">
      <xdr:nvSpPr>
        <xdr:cNvPr id="31" name="Ellipse 30">
          <a:extLst>
            <a:ext uri="{FF2B5EF4-FFF2-40B4-BE49-F238E27FC236}">
              <a16:creationId xmlns:a16="http://schemas.microsoft.com/office/drawing/2014/main" id="{D250532C-9EC1-DC2C-8E63-0976031AAAEE}"/>
            </a:ext>
          </a:extLst>
        </xdr:cNvPr>
        <xdr:cNvSpPr/>
      </xdr:nvSpPr>
      <xdr:spPr>
        <a:xfrm>
          <a:off x="3895529" y="1240192"/>
          <a:ext cx="828000" cy="828000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*</a:t>
          </a:r>
        </a:p>
      </xdr:txBody>
    </xdr:sp>
    <xdr:clientData/>
  </xdr:twoCellAnchor>
  <xdr:twoCellAnchor>
    <xdr:from>
      <xdr:col>5</xdr:col>
      <xdr:colOff>107992</xdr:colOff>
      <xdr:row>5</xdr:row>
      <xdr:rowOff>31103</xdr:rowOff>
    </xdr:from>
    <xdr:to>
      <xdr:col>7</xdr:col>
      <xdr:colOff>598715</xdr:colOff>
      <xdr:row>13</xdr:row>
      <xdr:rowOff>139961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59D67256-80FE-4411-BD33-3A0A39F659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412106</xdr:colOff>
      <xdr:row>7</xdr:row>
      <xdr:rowOff>97192</xdr:rowOff>
    </xdr:from>
    <xdr:to>
      <xdr:col>6</xdr:col>
      <xdr:colOff>337288</xdr:colOff>
      <xdr:row>11</xdr:row>
      <xdr:rowOff>86294</xdr:rowOff>
    </xdr:to>
    <xdr:sp macro="" textlink="">
      <xdr:nvSpPr>
        <xdr:cNvPr id="40" name="Ellipse 39">
          <a:extLst>
            <a:ext uri="{FF2B5EF4-FFF2-40B4-BE49-F238E27FC236}">
              <a16:creationId xmlns:a16="http://schemas.microsoft.com/office/drawing/2014/main" id="{CDE5FBBA-7D1E-76F7-F93C-EF31B1CA0652}"/>
            </a:ext>
          </a:extLst>
        </xdr:cNvPr>
        <xdr:cNvSpPr/>
      </xdr:nvSpPr>
      <xdr:spPr>
        <a:xfrm>
          <a:off x="3584514" y="1376263"/>
          <a:ext cx="718284" cy="720000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428285</xdr:colOff>
      <xdr:row>8</xdr:row>
      <xdr:rowOff>62202</xdr:rowOff>
    </xdr:from>
    <xdr:to>
      <xdr:col>6</xdr:col>
      <xdr:colOff>311023</xdr:colOff>
      <xdr:row>10</xdr:row>
      <xdr:rowOff>102119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F30F3E86-11AE-464D-0FDA-3CF9BB307807}"/>
            </a:ext>
          </a:extLst>
        </xdr:cNvPr>
        <xdr:cNvSpPr txBox="1"/>
      </xdr:nvSpPr>
      <xdr:spPr>
        <a:xfrm>
          <a:off x="3600693" y="1523998"/>
          <a:ext cx="675840" cy="4053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fr-FR" sz="1000" b="1"/>
            <a:t>Stock</a:t>
          </a:r>
          <a:r>
            <a:rPr lang="fr-FR" sz="1000" b="1" baseline="0"/>
            <a:t> par catégorie</a:t>
          </a:r>
          <a:endParaRPr lang="fr-FR" sz="1000" b="1"/>
        </a:p>
      </xdr:txBody>
    </xdr:sp>
    <xdr:clientData/>
  </xdr:twoCellAnchor>
  <xdr:twoCellAnchor>
    <xdr:from>
      <xdr:col>7</xdr:col>
      <xdr:colOff>244064</xdr:colOff>
      <xdr:row>4</xdr:row>
      <xdr:rowOff>128296</xdr:rowOff>
    </xdr:from>
    <xdr:to>
      <xdr:col>9</xdr:col>
      <xdr:colOff>773662</xdr:colOff>
      <xdr:row>14</xdr:row>
      <xdr:rowOff>23673</xdr:rowOff>
    </xdr:to>
    <xdr:graphicFrame macro="">
      <xdr:nvGraphicFramePr>
        <xdr:cNvPr id="42" name="Graphique 41">
          <a:extLst>
            <a:ext uri="{FF2B5EF4-FFF2-40B4-BE49-F238E27FC236}">
              <a16:creationId xmlns:a16="http://schemas.microsoft.com/office/drawing/2014/main" id="{25FE4D6D-BDB9-4094-80AB-B7DC2360C2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191282</xdr:colOff>
      <xdr:row>7</xdr:row>
      <xdr:rowOff>35764</xdr:rowOff>
    </xdr:from>
    <xdr:to>
      <xdr:col>9</xdr:col>
      <xdr:colOff>116464</xdr:colOff>
      <xdr:row>11</xdr:row>
      <xdr:rowOff>24866</xdr:rowOff>
    </xdr:to>
    <xdr:sp macro="" textlink="">
      <xdr:nvSpPr>
        <xdr:cNvPr id="43" name="Ellipse 42">
          <a:extLst>
            <a:ext uri="{FF2B5EF4-FFF2-40B4-BE49-F238E27FC236}">
              <a16:creationId xmlns:a16="http://schemas.microsoft.com/office/drawing/2014/main" id="{EC87FA5E-DEFF-455E-8C1D-52FC9E90AC52}"/>
            </a:ext>
          </a:extLst>
        </xdr:cNvPr>
        <xdr:cNvSpPr/>
      </xdr:nvSpPr>
      <xdr:spPr>
        <a:xfrm>
          <a:off x="5742996" y="1314835"/>
          <a:ext cx="718284" cy="720000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206051</xdr:colOff>
      <xdr:row>8</xdr:row>
      <xdr:rowOff>19439</xdr:rowOff>
    </xdr:from>
    <xdr:to>
      <xdr:col>9</xdr:col>
      <xdr:colOff>147735</xdr:colOff>
      <xdr:row>10</xdr:row>
      <xdr:rowOff>81643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BE3923F3-7151-4C40-856F-3BD2C1A9D583}"/>
            </a:ext>
          </a:extLst>
        </xdr:cNvPr>
        <xdr:cNvSpPr txBox="1"/>
      </xdr:nvSpPr>
      <xdr:spPr>
        <a:xfrm>
          <a:off x="5757765" y="1481235"/>
          <a:ext cx="734786" cy="4276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fr-FR" sz="1000" b="1" baseline="0"/>
            <a:t>Valeur par catégorie</a:t>
          </a:r>
          <a:endParaRPr lang="fr-FR" sz="1000" b="1"/>
        </a:p>
      </xdr:txBody>
    </xdr:sp>
    <xdr:clientData/>
  </xdr:twoCellAnchor>
  <xdr:twoCellAnchor>
    <xdr:from>
      <xdr:col>10</xdr:col>
      <xdr:colOff>74384</xdr:colOff>
      <xdr:row>5</xdr:row>
      <xdr:rowOff>101083</xdr:rowOff>
    </xdr:from>
    <xdr:to>
      <xdr:col>12</xdr:col>
      <xdr:colOff>334347</xdr:colOff>
      <xdr:row>14</xdr:row>
      <xdr:rowOff>124408</xdr:rowOff>
    </xdr:to>
    <xdr:graphicFrame macro="">
      <xdr:nvGraphicFramePr>
        <xdr:cNvPr id="45" name="Graphique 44">
          <a:extLst>
            <a:ext uri="{FF2B5EF4-FFF2-40B4-BE49-F238E27FC236}">
              <a16:creationId xmlns:a16="http://schemas.microsoft.com/office/drawing/2014/main" id="{8005663A-0148-4C91-BC23-2DE658EB6B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572016</xdr:colOff>
      <xdr:row>7</xdr:row>
      <xdr:rowOff>43197</xdr:rowOff>
    </xdr:from>
    <xdr:to>
      <xdr:col>11</xdr:col>
      <xdr:colOff>497198</xdr:colOff>
      <xdr:row>11</xdr:row>
      <xdr:rowOff>32299</xdr:rowOff>
    </xdr:to>
    <xdr:sp macro="" textlink="">
      <xdr:nvSpPr>
        <xdr:cNvPr id="46" name="Ellipse 45">
          <a:extLst>
            <a:ext uri="{FF2B5EF4-FFF2-40B4-BE49-F238E27FC236}">
              <a16:creationId xmlns:a16="http://schemas.microsoft.com/office/drawing/2014/main" id="{37CF6659-BC4A-4F7F-AE84-2D3C5E2F23A0}"/>
            </a:ext>
          </a:extLst>
        </xdr:cNvPr>
        <xdr:cNvSpPr/>
      </xdr:nvSpPr>
      <xdr:spPr>
        <a:xfrm>
          <a:off x="7709934" y="1322268"/>
          <a:ext cx="718284" cy="720000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568389</xdr:colOff>
      <xdr:row>7</xdr:row>
      <xdr:rowOff>156289</xdr:rowOff>
    </xdr:from>
    <xdr:to>
      <xdr:col>11</xdr:col>
      <xdr:colOff>540398</xdr:colOff>
      <xdr:row>10</xdr:row>
      <xdr:rowOff>136071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19B3B61E-54CA-416B-A2C7-907A4AD41ABF}"/>
            </a:ext>
          </a:extLst>
        </xdr:cNvPr>
        <xdr:cNvSpPr txBox="1"/>
      </xdr:nvSpPr>
      <xdr:spPr>
        <a:xfrm>
          <a:off x="7706307" y="1435360"/>
          <a:ext cx="765111" cy="52795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fr-FR" sz="900" b="1" baseline="0"/>
            <a:t>Total des Entrées par catégorie</a:t>
          </a:r>
          <a:endParaRPr lang="fr-FR" sz="900" b="1"/>
        </a:p>
      </xdr:txBody>
    </xdr:sp>
    <xdr:clientData/>
  </xdr:twoCellAnchor>
  <xdr:twoCellAnchor>
    <xdr:from>
      <xdr:col>12</xdr:col>
      <xdr:colOff>377112</xdr:colOff>
      <xdr:row>5</xdr:row>
      <xdr:rowOff>62204</xdr:rowOff>
    </xdr:from>
    <xdr:to>
      <xdr:col>15</xdr:col>
      <xdr:colOff>163284</xdr:colOff>
      <xdr:row>14</xdr:row>
      <xdr:rowOff>27214</xdr:rowOff>
    </xdr:to>
    <xdr:graphicFrame macro="">
      <xdr:nvGraphicFramePr>
        <xdr:cNvPr id="50" name="Graphique 49">
          <a:extLst>
            <a:ext uri="{FF2B5EF4-FFF2-40B4-BE49-F238E27FC236}">
              <a16:creationId xmlns:a16="http://schemas.microsoft.com/office/drawing/2014/main" id="{145CA705-19DE-4378-B310-4BA06356A9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331752</xdr:colOff>
      <xdr:row>7</xdr:row>
      <xdr:rowOff>8985</xdr:rowOff>
    </xdr:from>
    <xdr:to>
      <xdr:col>14</xdr:col>
      <xdr:colOff>256933</xdr:colOff>
      <xdr:row>10</xdr:row>
      <xdr:rowOff>180811</xdr:rowOff>
    </xdr:to>
    <xdr:sp macro="" textlink="">
      <xdr:nvSpPr>
        <xdr:cNvPr id="51" name="Ellipse 50">
          <a:extLst>
            <a:ext uri="{FF2B5EF4-FFF2-40B4-BE49-F238E27FC236}">
              <a16:creationId xmlns:a16="http://schemas.microsoft.com/office/drawing/2014/main" id="{82A3DA95-D691-4785-833D-6312D0BFC929}"/>
            </a:ext>
          </a:extLst>
        </xdr:cNvPr>
        <xdr:cNvSpPr/>
      </xdr:nvSpPr>
      <xdr:spPr>
        <a:xfrm>
          <a:off x="9848976" y="1288056"/>
          <a:ext cx="718284" cy="720000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361563</xdr:colOff>
      <xdr:row>7</xdr:row>
      <xdr:rowOff>124410</xdr:rowOff>
    </xdr:from>
    <xdr:to>
      <xdr:col>14</xdr:col>
      <xdr:colOff>381000</xdr:colOff>
      <xdr:row>10</xdr:row>
      <xdr:rowOff>116634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602505BD-25AF-40FC-9669-A895D5EDBBA2}"/>
            </a:ext>
          </a:extLst>
        </xdr:cNvPr>
        <xdr:cNvSpPr txBox="1"/>
      </xdr:nvSpPr>
      <xdr:spPr>
        <a:xfrm>
          <a:off x="9878787" y="1403481"/>
          <a:ext cx="812540" cy="5403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fr-FR" sz="900" b="1" baseline="0"/>
            <a:t>Valeur des Entrées par catégorie</a:t>
          </a:r>
          <a:endParaRPr lang="fr-FR" sz="900" b="1"/>
        </a:p>
      </xdr:txBody>
    </xdr:sp>
    <xdr:clientData/>
  </xdr:twoCellAnchor>
  <xdr:twoCellAnchor>
    <xdr:from>
      <xdr:col>15</xdr:col>
      <xdr:colOff>113260</xdr:colOff>
      <xdr:row>4</xdr:row>
      <xdr:rowOff>108856</xdr:rowOff>
    </xdr:from>
    <xdr:to>
      <xdr:col>17</xdr:col>
      <xdr:colOff>699795</xdr:colOff>
      <xdr:row>14</xdr:row>
      <xdr:rowOff>36370</xdr:rowOff>
    </xdr:to>
    <xdr:graphicFrame macro="">
      <xdr:nvGraphicFramePr>
        <xdr:cNvPr id="55" name="Graphique 54">
          <a:extLst>
            <a:ext uri="{FF2B5EF4-FFF2-40B4-BE49-F238E27FC236}">
              <a16:creationId xmlns:a16="http://schemas.microsoft.com/office/drawing/2014/main" id="{2C705720-A9E3-4121-9C30-C5A760DC94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15</xdr:col>
      <xdr:colOff>736856</xdr:colOff>
      <xdr:row>6</xdr:row>
      <xdr:rowOff>145832</xdr:rowOff>
    </xdr:from>
    <xdr:to>
      <xdr:col>16</xdr:col>
      <xdr:colOff>662038</xdr:colOff>
      <xdr:row>10</xdr:row>
      <xdr:rowOff>134934</xdr:rowOff>
    </xdr:to>
    <xdr:sp macro="" textlink="">
      <xdr:nvSpPr>
        <xdr:cNvPr id="56" name="Ellipse 55">
          <a:extLst>
            <a:ext uri="{FF2B5EF4-FFF2-40B4-BE49-F238E27FC236}">
              <a16:creationId xmlns:a16="http://schemas.microsoft.com/office/drawing/2014/main" id="{503545B9-ED3A-4CDB-88C8-A83670DC66D2}"/>
            </a:ext>
          </a:extLst>
        </xdr:cNvPr>
        <xdr:cNvSpPr/>
      </xdr:nvSpPr>
      <xdr:spPr>
        <a:xfrm>
          <a:off x="11840285" y="1242179"/>
          <a:ext cx="718284" cy="720000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744115</xdr:colOff>
      <xdr:row>7</xdr:row>
      <xdr:rowOff>71536</xdr:rowOff>
    </xdr:from>
    <xdr:to>
      <xdr:col>16</xdr:col>
      <xdr:colOff>716124</xdr:colOff>
      <xdr:row>10</xdr:row>
      <xdr:rowOff>51318</xdr:rowOff>
    </xdr:to>
    <xdr:sp macro="" textlink="">
      <xdr:nvSpPr>
        <xdr:cNvPr id="58" name="ZoneTexte 57">
          <a:extLst>
            <a:ext uri="{FF2B5EF4-FFF2-40B4-BE49-F238E27FC236}">
              <a16:creationId xmlns:a16="http://schemas.microsoft.com/office/drawing/2014/main" id="{9051AB36-D935-4A52-85BB-090294C85DE3}"/>
            </a:ext>
          </a:extLst>
        </xdr:cNvPr>
        <xdr:cNvSpPr txBox="1"/>
      </xdr:nvSpPr>
      <xdr:spPr>
        <a:xfrm>
          <a:off x="11847544" y="1350607"/>
          <a:ext cx="765111" cy="52795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fr-FR" sz="900" b="1" baseline="0"/>
            <a:t>Total des Sorties par catégorie</a:t>
          </a:r>
          <a:endParaRPr lang="fr-FR" sz="900" b="1"/>
        </a:p>
      </xdr:txBody>
    </xdr:sp>
    <xdr:clientData/>
  </xdr:twoCellAnchor>
  <xdr:twoCellAnchor>
    <xdr:from>
      <xdr:col>17</xdr:col>
      <xdr:colOff>284322</xdr:colOff>
      <xdr:row>5</xdr:row>
      <xdr:rowOff>73868</xdr:rowOff>
    </xdr:from>
    <xdr:to>
      <xdr:col>20</xdr:col>
      <xdr:colOff>3888</xdr:colOff>
      <xdr:row>14</xdr:row>
      <xdr:rowOff>85531</xdr:rowOff>
    </xdr:to>
    <xdr:graphicFrame macro="">
      <xdr:nvGraphicFramePr>
        <xdr:cNvPr id="59" name="Graphique 58">
          <a:extLst>
            <a:ext uri="{FF2B5EF4-FFF2-40B4-BE49-F238E27FC236}">
              <a16:creationId xmlns:a16="http://schemas.microsoft.com/office/drawing/2014/main" id="{BF002014-01E7-4561-9D99-B4641E197B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243889</xdr:colOff>
      <xdr:row>7</xdr:row>
      <xdr:rowOff>26089</xdr:rowOff>
    </xdr:from>
    <xdr:to>
      <xdr:col>19</xdr:col>
      <xdr:colOff>169071</xdr:colOff>
      <xdr:row>11</xdr:row>
      <xdr:rowOff>15191</xdr:rowOff>
    </xdr:to>
    <xdr:sp macro="" textlink="">
      <xdr:nvSpPr>
        <xdr:cNvPr id="61" name="Ellipse 60">
          <a:extLst>
            <a:ext uri="{FF2B5EF4-FFF2-40B4-BE49-F238E27FC236}">
              <a16:creationId xmlns:a16="http://schemas.microsoft.com/office/drawing/2014/main" id="{5F9256FF-65BE-4E06-960C-17511641DFE4}"/>
            </a:ext>
          </a:extLst>
        </xdr:cNvPr>
        <xdr:cNvSpPr/>
      </xdr:nvSpPr>
      <xdr:spPr>
        <a:xfrm>
          <a:off x="13726624" y="1305160"/>
          <a:ext cx="718284" cy="720000"/>
        </a:xfrm>
        <a:prstGeom prst="ellipse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18</xdr:col>
      <xdr:colOff>265146</xdr:colOff>
      <xdr:row>7</xdr:row>
      <xdr:rowOff>140739</xdr:rowOff>
    </xdr:from>
    <xdr:to>
      <xdr:col>19</xdr:col>
      <xdr:colOff>284584</xdr:colOff>
      <xdr:row>10</xdr:row>
      <xdr:rowOff>132963</xdr:rowOff>
    </xdr:to>
    <xdr:sp macro="" textlink="">
      <xdr:nvSpPr>
        <xdr:cNvPr id="1024" name="ZoneTexte 1023">
          <a:extLst>
            <a:ext uri="{FF2B5EF4-FFF2-40B4-BE49-F238E27FC236}">
              <a16:creationId xmlns:a16="http://schemas.microsoft.com/office/drawing/2014/main" id="{1FD82544-88B2-4F41-A8B6-69C71076A214}"/>
            </a:ext>
          </a:extLst>
        </xdr:cNvPr>
        <xdr:cNvSpPr txBox="1"/>
      </xdr:nvSpPr>
      <xdr:spPr>
        <a:xfrm>
          <a:off x="13747881" y="1419810"/>
          <a:ext cx="812540" cy="5403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fr-FR" sz="900" b="1" baseline="0"/>
            <a:t>Valeur des Sorties par catégorie</a:t>
          </a:r>
          <a:endParaRPr lang="fr-FR" sz="900" b="1"/>
        </a:p>
      </xdr:txBody>
    </xdr:sp>
    <xdr:clientData/>
  </xdr:twoCellAnchor>
  <xdr:twoCellAnchor>
    <xdr:from>
      <xdr:col>10</xdr:col>
      <xdr:colOff>206051</xdr:colOff>
      <xdr:row>16</xdr:row>
      <xdr:rowOff>3888</xdr:rowOff>
    </xdr:from>
    <xdr:to>
      <xdr:col>14</xdr:col>
      <xdr:colOff>789214</xdr:colOff>
      <xdr:row>24</xdr:row>
      <xdr:rowOff>93305</xdr:rowOff>
    </xdr:to>
    <xdr:graphicFrame macro="">
      <xdr:nvGraphicFramePr>
        <xdr:cNvPr id="1027" name="Graphique 1026">
          <a:extLst>
            <a:ext uri="{FF2B5EF4-FFF2-40B4-BE49-F238E27FC236}">
              <a16:creationId xmlns:a16="http://schemas.microsoft.com/office/drawing/2014/main" id="{ECF95473-E26F-4478-9411-C33425FA17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15</xdr:col>
      <xdr:colOff>283806</xdr:colOff>
      <xdr:row>15</xdr:row>
      <xdr:rowOff>164408</xdr:rowOff>
    </xdr:from>
    <xdr:to>
      <xdr:col>20</xdr:col>
      <xdr:colOff>108857</xdr:colOff>
      <xdr:row>24</xdr:row>
      <xdr:rowOff>112745</xdr:rowOff>
    </xdr:to>
    <xdr:graphicFrame macro="">
      <xdr:nvGraphicFramePr>
        <xdr:cNvPr id="1028" name="Graphique 1027">
          <a:extLst>
            <a:ext uri="{FF2B5EF4-FFF2-40B4-BE49-F238E27FC236}">
              <a16:creationId xmlns:a16="http://schemas.microsoft.com/office/drawing/2014/main" id="{AE5DB4D0-79BA-4A3E-B9CF-345E9002EE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10</xdr:col>
      <xdr:colOff>194388</xdr:colOff>
      <xdr:row>26</xdr:row>
      <xdr:rowOff>128296</xdr:rowOff>
    </xdr:from>
    <xdr:to>
      <xdr:col>13</xdr:col>
      <xdr:colOff>77756</xdr:colOff>
      <xdr:row>28</xdr:row>
      <xdr:rowOff>27213</xdr:rowOff>
    </xdr:to>
    <xdr:sp macro="" textlink="">
      <xdr:nvSpPr>
        <xdr:cNvPr id="29" name="ZoneTexte 15">
          <a:extLst>
            <a:ext uri="{FF2B5EF4-FFF2-40B4-BE49-F238E27FC236}">
              <a16:creationId xmlns:a16="http://schemas.microsoft.com/office/drawing/2014/main" id="{671B6FE8-ED3B-53CD-A3BE-62675BE1ED6A}"/>
            </a:ext>
          </a:extLst>
        </xdr:cNvPr>
        <xdr:cNvSpPr txBox="1"/>
      </xdr:nvSpPr>
      <xdr:spPr>
        <a:xfrm>
          <a:off x="7332306" y="4879133"/>
          <a:ext cx="2262674" cy="2643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fr-FR" sz="1100" b="1">
              <a:solidFill>
                <a:sysClr val="windowText" lastClr="000000"/>
              </a:solidFill>
              <a:latin typeface="Georgia" panose="02040502050405020303" pitchFamily="18" charset="0"/>
            </a:rPr>
            <a:t>Valeur des Entrées du mois</a:t>
          </a:r>
        </a:p>
      </xdr:txBody>
    </xdr:sp>
    <xdr:clientData/>
  </xdr:twoCellAnchor>
  <xdr:twoCellAnchor>
    <xdr:from>
      <xdr:col>15</xdr:col>
      <xdr:colOff>404326</xdr:colOff>
      <xdr:row>26</xdr:row>
      <xdr:rowOff>104969</xdr:rowOff>
    </xdr:from>
    <xdr:to>
      <xdr:col>18</xdr:col>
      <xdr:colOff>217714</xdr:colOff>
      <xdr:row>28</xdr:row>
      <xdr:rowOff>15551</xdr:rowOff>
    </xdr:to>
    <xdr:sp macro="" textlink="">
      <xdr:nvSpPr>
        <xdr:cNvPr id="30" name="ZoneTexte 15">
          <a:extLst>
            <a:ext uri="{FF2B5EF4-FFF2-40B4-BE49-F238E27FC236}">
              <a16:creationId xmlns:a16="http://schemas.microsoft.com/office/drawing/2014/main" id="{84186E84-5DAA-4AA4-80A6-AB432FDB81E7}"/>
            </a:ext>
          </a:extLst>
        </xdr:cNvPr>
        <xdr:cNvSpPr txBox="1"/>
      </xdr:nvSpPr>
      <xdr:spPr>
        <a:xfrm>
          <a:off x="11507755" y="4855806"/>
          <a:ext cx="2192694" cy="2760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fr-FR" sz="1100" b="1">
              <a:solidFill>
                <a:sysClr val="windowText" lastClr="000000"/>
              </a:solidFill>
              <a:latin typeface="Georgia" panose="02040502050405020303" pitchFamily="18" charset="0"/>
            </a:rPr>
            <a:t>Valeur des Sorties du mois</a:t>
          </a:r>
        </a:p>
      </xdr:txBody>
    </xdr:sp>
    <xdr:clientData/>
  </xdr:twoCellAnchor>
  <xdr:twoCellAnchor>
    <xdr:from>
      <xdr:col>10</xdr:col>
      <xdr:colOff>260480</xdr:colOff>
      <xdr:row>28</xdr:row>
      <xdr:rowOff>50541</xdr:rowOff>
    </xdr:from>
    <xdr:to>
      <xdr:col>14</xdr:col>
      <xdr:colOff>727010</xdr:colOff>
      <xdr:row>34</xdr:row>
      <xdr:rowOff>136071</xdr:rowOff>
    </xdr:to>
    <xdr:graphicFrame macro="">
      <xdr:nvGraphicFramePr>
        <xdr:cNvPr id="33" name="Graphique 32">
          <a:extLst>
            <a:ext uri="{FF2B5EF4-FFF2-40B4-BE49-F238E27FC236}">
              <a16:creationId xmlns:a16="http://schemas.microsoft.com/office/drawing/2014/main" id="{785F9F94-1628-4E85-9452-FE984011D3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15</xdr:col>
      <xdr:colOff>299358</xdr:colOff>
      <xdr:row>28</xdr:row>
      <xdr:rowOff>15551</xdr:rowOff>
    </xdr:from>
    <xdr:to>
      <xdr:col>20</xdr:col>
      <xdr:colOff>38877</xdr:colOff>
      <xdr:row>34</xdr:row>
      <xdr:rowOff>147734</xdr:rowOff>
    </xdr:to>
    <xdr:graphicFrame macro="">
      <xdr:nvGraphicFramePr>
        <xdr:cNvPr id="34" name="Graphique 33">
          <a:extLst>
            <a:ext uri="{FF2B5EF4-FFF2-40B4-BE49-F238E27FC236}">
              <a16:creationId xmlns:a16="http://schemas.microsoft.com/office/drawing/2014/main" id="{ED12D205-8289-4561-96FA-CD7F504C3C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106126</xdr:colOff>
      <xdr:row>17</xdr:row>
      <xdr:rowOff>151624</xdr:rowOff>
    </xdr:from>
    <xdr:to>
      <xdr:col>9</xdr:col>
      <xdr:colOff>583163</xdr:colOff>
      <xdr:row>24</xdr:row>
      <xdr:rowOff>62204</xdr:rowOff>
    </xdr:to>
    <xdr:graphicFrame macro="">
      <xdr:nvGraphicFramePr>
        <xdr:cNvPr id="35" name="Graphique 34">
          <a:extLst>
            <a:ext uri="{FF2B5EF4-FFF2-40B4-BE49-F238E27FC236}">
              <a16:creationId xmlns:a16="http://schemas.microsoft.com/office/drawing/2014/main" id="{2CE100C4-B56C-4AE1-8172-124EE0D139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</xdr:col>
      <xdr:colOff>132184</xdr:colOff>
      <xdr:row>16</xdr:row>
      <xdr:rowOff>81643</xdr:rowOff>
    </xdr:from>
    <xdr:to>
      <xdr:col>8</xdr:col>
      <xdr:colOff>287693</xdr:colOff>
      <xdr:row>17</xdr:row>
      <xdr:rowOff>174949</xdr:rowOff>
    </xdr:to>
    <xdr:sp macro="" textlink="">
      <xdr:nvSpPr>
        <xdr:cNvPr id="36" name="ZoneTexte 15">
          <a:extLst>
            <a:ext uri="{FF2B5EF4-FFF2-40B4-BE49-F238E27FC236}">
              <a16:creationId xmlns:a16="http://schemas.microsoft.com/office/drawing/2014/main" id="{616D585C-6F66-430D-9DB3-EC45672F32E1}"/>
            </a:ext>
          </a:extLst>
        </xdr:cNvPr>
        <xdr:cNvSpPr txBox="1"/>
      </xdr:nvSpPr>
      <xdr:spPr>
        <a:xfrm>
          <a:off x="3304592" y="3005235"/>
          <a:ext cx="2534815" cy="276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fr-FR" sz="1100" b="1">
              <a:solidFill>
                <a:sysClr val="windowText" lastClr="000000"/>
              </a:solidFill>
              <a:latin typeface="Georgia" panose="02040502050405020303" pitchFamily="18" charset="0"/>
            </a:rPr>
            <a:t>Top 3 des produits vendus</a:t>
          </a:r>
        </a:p>
      </xdr:txBody>
    </xdr:sp>
    <xdr:clientData/>
  </xdr:twoCellAnchor>
  <xdr:twoCellAnchor>
    <xdr:from>
      <xdr:col>5</xdr:col>
      <xdr:colOff>124407</xdr:colOff>
      <xdr:row>26</xdr:row>
      <xdr:rowOff>104968</xdr:rowOff>
    </xdr:from>
    <xdr:to>
      <xdr:col>7</xdr:col>
      <xdr:colOff>673738</xdr:colOff>
      <xdr:row>28</xdr:row>
      <xdr:rowOff>15551</xdr:rowOff>
    </xdr:to>
    <xdr:sp macro="" textlink="">
      <xdr:nvSpPr>
        <xdr:cNvPr id="37" name="ZoneTexte 15">
          <a:extLst>
            <a:ext uri="{FF2B5EF4-FFF2-40B4-BE49-F238E27FC236}">
              <a16:creationId xmlns:a16="http://schemas.microsoft.com/office/drawing/2014/main" id="{2BD71618-12F3-4FC7-A191-6B44B16D63A5}"/>
            </a:ext>
          </a:extLst>
        </xdr:cNvPr>
        <xdr:cNvSpPr txBox="1"/>
      </xdr:nvSpPr>
      <xdr:spPr>
        <a:xfrm>
          <a:off x="3296815" y="4855805"/>
          <a:ext cx="2135535" cy="2760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fr-FR" sz="1100" b="1">
              <a:solidFill>
                <a:sysClr val="windowText" lastClr="000000"/>
              </a:solidFill>
              <a:latin typeface="Georgia" panose="02040502050405020303" pitchFamily="18" charset="0"/>
            </a:rPr>
            <a:t>Articles à approvisionner</a:t>
          </a:r>
        </a:p>
      </xdr:txBody>
    </xdr:sp>
    <xdr:clientData/>
  </xdr:twoCellAnchor>
  <xdr:twoCellAnchor>
    <xdr:from>
      <xdr:col>5</xdr:col>
      <xdr:colOff>78533</xdr:colOff>
      <xdr:row>29</xdr:row>
      <xdr:rowOff>31878</xdr:rowOff>
    </xdr:from>
    <xdr:to>
      <xdr:col>7</xdr:col>
      <xdr:colOff>315461</xdr:colOff>
      <xdr:row>30</xdr:row>
      <xdr:rowOff>85530</xdr:rowOff>
    </xdr:to>
    <xdr:sp macro="" textlink="Traitement!D97">
      <xdr:nvSpPr>
        <xdr:cNvPr id="38" name="ZoneTexte 15">
          <a:extLst>
            <a:ext uri="{FF2B5EF4-FFF2-40B4-BE49-F238E27FC236}">
              <a16:creationId xmlns:a16="http://schemas.microsoft.com/office/drawing/2014/main" id="{3924198B-72C7-4725-8997-E3F8D27B4510}"/>
            </a:ext>
          </a:extLst>
        </xdr:cNvPr>
        <xdr:cNvSpPr txBox="1"/>
      </xdr:nvSpPr>
      <xdr:spPr>
        <a:xfrm>
          <a:off x="3250941" y="5330888"/>
          <a:ext cx="1823132" cy="2363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fld id="{AA1955A2-4690-430F-8F4B-BA342D8C73DE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Cuisinière CANDY</a:t>
          </a:fld>
          <a:endParaRPr lang="fr-FR" sz="1100" b="1">
            <a:solidFill>
              <a:sysClr val="windowText" lastClr="000000"/>
            </a:solidFill>
            <a:latin typeface="Georgia" panose="02040502050405020303" pitchFamily="18" charset="0"/>
          </a:endParaRPr>
        </a:p>
      </xdr:txBody>
    </xdr:sp>
    <xdr:clientData/>
  </xdr:twoCellAnchor>
  <xdr:twoCellAnchor>
    <xdr:from>
      <xdr:col>5</xdr:col>
      <xdr:colOff>78532</xdr:colOff>
      <xdr:row>30</xdr:row>
      <xdr:rowOff>152398</xdr:rowOff>
    </xdr:from>
    <xdr:to>
      <xdr:col>7</xdr:col>
      <xdr:colOff>283807</xdr:colOff>
      <xdr:row>32</xdr:row>
      <xdr:rowOff>58315</xdr:rowOff>
    </xdr:to>
    <xdr:sp macro="" textlink="Traitement!D98">
      <xdr:nvSpPr>
        <xdr:cNvPr id="39" name="ZoneTexte 15">
          <a:extLst>
            <a:ext uri="{FF2B5EF4-FFF2-40B4-BE49-F238E27FC236}">
              <a16:creationId xmlns:a16="http://schemas.microsoft.com/office/drawing/2014/main" id="{24441626-08D2-4287-BBF3-DD676D8388E5}"/>
            </a:ext>
          </a:extLst>
        </xdr:cNvPr>
        <xdr:cNvSpPr txBox="1"/>
      </xdr:nvSpPr>
      <xdr:spPr>
        <a:xfrm>
          <a:off x="3250940" y="5634133"/>
          <a:ext cx="1791479" cy="2713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fld id="{0C3A94C1-3960-4AFA-A9BB-74C401EA784E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NINTENDO SWITCH</a:t>
          </a:fld>
          <a:endParaRPr lang="fr-FR" sz="1100" b="1">
            <a:solidFill>
              <a:sysClr val="windowText" lastClr="000000"/>
            </a:solidFill>
            <a:latin typeface="Georgia" panose="02040502050405020303" pitchFamily="18" charset="0"/>
          </a:endParaRPr>
        </a:p>
      </xdr:txBody>
    </xdr:sp>
    <xdr:clientData/>
  </xdr:twoCellAnchor>
  <xdr:twoCellAnchor>
    <xdr:from>
      <xdr:col>5</xdr:col>
      <xdr:colOff>78532</xdr:colOff>
      <xdr:row>32</xdr:row>
      <xdr:rowOff>83195</xdr:rowOff>
    </xdr:from>
    <xdr:to>
      <xdr:col>7</xdr:col>
      <xdr:colOff>240287</xdr:colOff>
      <xdr:row>33</xdr:row>
      <xdr:rowOff>136071</xdr:rowOff>
    </xdr:to>
    <xdr:sp macro="" textlink="Traitement!D99">
      <xdr:nvSpPr>
        <xdr:cNvPr id="47" name="ZoneTexte 15">
          <a:extLst>
            <a:ext uri="{FF2B5EF4-FFF2-40B4-BE49-F238E27FC236}">
              <a16:creationId xmlns:a16="http://schemas.microsoft.com/office/drawing/2014/main" id="{8FC334CD-B4F7-4347-8CD8-69843CB6C69D}"/>
            </a:ext>
          </a:extLst>
        </xdr:cNvPr>
        <xdr:cNvSpPr txBox="1"/>
      </xdr:nvSpPr>
      <xdr:spPr>
        <a:xfrm>
          <a:off x="3250940" y="5930379"/>
          <a:ext cx="1747959" cy="235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fld id="{81B777CA-8145-4B5E-B8BC-9FED421E8261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Réfrigérateur WHIRLPOOL</a:t>
          </a:fld>
          <a:endParaRPr lang="fr-FR" sz="1100" b="1">
            <a:solidFill>
              <a:sysClr val="windowText" lastClr="000000"/>
            </a:solidFill>
            <a:latin typeface="Georgia" panose="02040502050405020303" pitchFamily="18" charset="0"/>
          </a:endParaRPr>
        </a:p>
      </xdr:txBody>
    </xdr:sp>
    <xdr:clientData/>
  </xdr:twoCellAnchor>
  <xdr:twoCellAnchor>
    <xdr:from>
      <xdr:col>7</xdr:col>
      <xdr:colOff>734787</xdr:colOff>
      <xdr:row>28</xdr:row>
      <xdr:rowOff>163287</xdr:rowOff>
    </xdr:from>
    <xdr:to>
      <xdr:col>9</xdr:col>
      <xdr:colOff>465755</xdr:colOff>
      <xdr:row>30</xdr:row>
      <xdr:rowOff>50542</xdr:rowOff>
    </xdr:to>
    <xdr:sp macro="" textlink="Traitement!F97">
      <xdr:nvSpPr>
        <xdr:cNvPr id="49" name="Rectangle : coins arrondis 48">
          <a:extLst>
            <a:ext uri="{FF2B5EF4-FFF2-40B4-BE49-F238E27FC236}">
              <a16:creationId xmlns:a16="http://schemas.microsoft.com/office/drawing/2014/main" id="{5E16E5C9-103E-B309-B3B4-C5A94DD5268C}"/>
            </a:ext>
          </a:extLst>
        </xdr:cNvPr>
        <xdr:cNvSpPr/>
      </xdr:nvSpPr>
      <xdr:spPr>
        <a:xfrm>
          <a:off x="5493399" y="5279573"/>
          <a:ext cx="1317172" cy="252704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C04BEBF-8166-47F3-B82F-3C1EA6D8AA42}" type="TxLink">
            <a:rPr lang="en-US" sz="1100" b="1" i="0" u="none" strike="noStrike">
              <a:solidFill>
                <a:schemeClr val="accent4">
                  <a:lumMod val="75000"/>
                </a:schemeClr>
              </a:solidFill>
              <a:latin typeface="Calibri"/>
              <a:ea typeface="Calibri"/>
              <a:cs typeface="Calibri"/>
            </a:rPr>
            <a:pPr algn="ctr"/>
            <a:t>Indisponible</a:t>
          </a:fld>
          <a:endParaRPr lang="fr-FR" sz="1100" b="1">
            <a:solidFill>
              <a:schemeClr val="accent4">
                <a:lumMod val="75000"/>
              </a:schemeClr>
            </a:solidFill>
          </a:endParaRPr>
        </a:p>
      </xdr:txBody>
    </xdr:sp>
    <xdr:clientData/>
  </xdr:twoCellAnchor>
  <xdr:twoCellAnchor>
    <xdr:from>
      <xdr:col>7</xdr:col>
      <xdr:colOff>735564</xdr:colOff>
      <xdr:row>30</xdr:row>
      <xdr:rowOff>136850</xdr:rowOff>
    </xdr:from>
    <xdr:to>
      <xdr:col>9</xdr:col>
      <xdr:colOff>466532</xdr:colOff>
      <xdr:row>32</xdr:row>
      <xdr:rowOff>24105</xdr:rowOff>
    </xdr:to>
    <xdr:sp macro="" textlink="Traitement!F98">
      <xdr:nvSpPr>
        <xdr:cNvPr id="52" name="Rectangle : coins arrondis 51">
          <a:extLst>
            <a:ext uri="{FF2B5EF4-FFF2-40B4-BE49-F238E27FC236}">
              <a16:creationId xmlns:a16="http://schemas.microsoft.com/office/drawing/2014/main" id="{06B14AC1-C62D-4EEA-BC0B-A057224159E0}"/>
            </a:ext>
          </a:extLst>
        </xdr:cNvPr>
        <xdr:cNvSpPr/>
      </xdr:nvSpPr>
      <xdr:spPr>
        <a:xfrm>
          <a:off x="5494176" y="5618585"/>
          <a:ext cx="1317172" cy="252704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4247A4D-177B-4108-B398-C5ED1E07F973}" type="TxLink">
            <a:rPr lang="en-US" sz="1100" b="1" i="0" u="none" strike="noStrike">
              <a:solidFill>
                <a:schemeClr val="accent4">
                  <a:lumMod val="75000"/>
                </a:schemeClr>
              </a:solidFill>
              <a:latin typeface="Calibri"/>
              <a:ea typeface="Calibri"/>
              <a:cs typeface="Calibri"/>
            </a:rPr>
            <a:pPr algn="ctr"/>
            <a:t>Stock Faible</a:t>
          </a:fld>
          <a:endParaRPr lang="fr-FR" sz="1100" b="1">
            <a:solidFill>
              <a:schemeClr val="accent4">
                <a:lumMod val="75000"/>
              </a:schemeClr>
            </a:solidFill>
          </a:endParaRPr>
        </a:p>
      </xdr:txBody>
    </xdr:sp>
    <xdr:clientData/>
  </xdr:twoCellAnchor>
  <xdr:twoCellAnchor>
    <xdr:from>
      <xdr:col>7</xdr:col>
      <xdr:colOff>744117</xdr:colOff>
      <xdr:row>32</xdr:row>
      <xdr:rowOff>110414</xdr:rowOff>
    </xdr:from>
    <xdr:to>
      <xdr:col>9</xdr:col>
      <xdr:colOff>475085</xdr:colOff>
      <xdr:row>33</xdr:row>
      <xdr:rowOff>180394</xdr:rowOff>
    </xdr:to>
    <xdr:sp macro="" textlink="Traitement!F99">
      <xdr:nvSpPr>
        <xdr:cNvPr id="53" name="Rectangle : coins arrondis 52">
          <a:extLst>
            <a:ext uri="{FF2B5EF4-FFF2-40B4-BE49-F238E27FC236}">
              <a16:creationId xmlns:a16="http://schemas.microsoft.com/office/drawing/2014/main" id="{9FE4014C-1954-4EDB-85AC-78377CAA050B}"/>
            </a:ext>
          </a:extLst>
        </xdr:cNvPr>
        <xdr:cNvSpPr/>
      </xdr:nvSpPr>
      <xdr:spPr>
        <a:xfrm>
          <a:off x="5502729" y="5957598"/>
          <a:ext cx="1317172" cy="252704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BE99905-6D14-4CF4-BCAD-4D30F2CE6976}" type="TxLink">
            <a:rPr lang="en-US" sz="1100" b="1" i="0" u="none" strike="noStrike">
              <a:solidFill>
                <a:schemeClr val="accent4">
                  <a:lumMod val="75000"/>
                </a:schemeClr>
              </a:solidFill>
              <a:latin typeface="Calibri"/>
              <a:ea typeface="Calibri"/>
              <a:cs typeface="Calibri"/>
            </a:rPr>
            <a:pPr algn="ctr"/>
            <a:t>Stock Faible</a:t>
          </a:fld>
          <a:endParaRPr lang="fr-FR" sz="1100" b="1">
            <a:solidFill>
              <a:schemeClr val="accent4">
                <a:lumMod val="75000"/>
              </a:schemeClr>
            </a:solidFill>
          </a:endParaRPr>
        </a:p>
      </xdr:txBody>
    </xdr:sp>
    <xdr:clientData/>
  </xdr:twoCellAnchor>
  <xdr:twoCellAnchor editAs="oneCell">
    <xdr:from>
      <xdr:col>0</xdr:col>
      <xdr:colOff>131407</xdr:colOff>
      <xdr:row>22</xdr:row>
      <xdr:rowOff>17107</xdr:rowOff>
    </xdr:from>
    <xdr:to>
      <xdr:col>2</xdr:col>
      <xdr:colOff>527958</xdr:colOff>
      <xdr:row>30</xdr:row>
      <xdr:rowOff>13220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7" name="Catégories 1">
              <a:extLst>
                <a:ext uri="{FF2B5EF4-FFF2-40B4-BE49-F238E27FC236}">
                  <a16:creationId xmlns:a16="http://schemas.microsoft.com/office/drawing/2014/main" id="{322FC94B-B351-491B-84D7-E53C6AD5AF4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égories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1407" y="3998557"/>
              <a:ext cx="1977701" cy="144391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143421</xdr:colOff>
      <xdr:row>30</xdr:row>
      <xdr:rowOff>118188</xdr:rowOff>
    </xdr:from>
    <xdr:to>
      <xdr:col>2</xdr:col>
      <xdr:colOff>590162</xdr:colOff>
      <xdr:row>38</xdr:row>
      <xdr:rowOff>106525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60" name="Références 1">
              <a:extLst>
                <a:ext uri="{FF2B5EF4-FFF2-40B4-BE49-F238E27FC236}">
                  <a16:creationId xmlns:a16="http://schemas.microsoft.com/office/drawing/2014/main" id="{689B92A5-B1A4-42D3-8E9B-8BCBD82CA89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éférences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3421" y="5547438"/>
              <a:ext cx="2027891" cy="143613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184240</xdr:colOff>
      <xdr:row>12</xdr:row>
      <xdr:rowOff>24881</xdr:rowOff>
    </xdr:from>
    <xdr:to>
      <xdr:col>2</xdr:col>
      <xdr:colOff>527957</xdr:colOff>
      <xdr:row>21</xdr:row>
      <xdr:rowOff>59872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62" name="Mois 1">
              <a:extLst>
                <a:ext uri="{FF2B5EF4-FFF2-40B4-BE49-F238E27FC236}">
                  <a16:creationId xmlns:a16="http://schemas.microsoft.com/office/drawing/2014/main" id="{6A738BD5-0BE9-4BC3-94A4-1DAF0159FC1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4240" y="2196581"/>
              <a:ext cx="1924867" cy="166376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0</xdr:col>
      <xdr:colOff>647700</xdr:colOff>
      <xdr:row>0</xdr:row>
      <xdr:rowOff>148589</xdr:rowOff>
    </xdr:from>
    <xdr:to>
      <xdr:col>2</xdr:col>
      <xdr:colOff>560615</xdr:colOff>
      <xdr:row>2</xdr:row>
      <xdr:rowOff>38100</xdr:rowOff>
    </xdr:to>
    <xdr:sp macro="" textlink="">
      <xdr:nvSpPr>
        <xdr:cNvPr id="63" name="ZoneTexte 62">
          <a:extLst>
            <a:ext uri="{FF2B5EF4-FFF2-40B4-BE49-F238E27FC236}">
              <a16:creationId xmlns:a16="http://schemas.microsoft.com/office/drawing/2014/main" id="{F3025245-F62B-450C-B10C-E2830F00A1FF}"/>
            </a:ext>
          </a:extLst>
        </xdr:cNvPr>
        <xdr:cNvSpPr txBox="1"/>
      </xdr:nvSpPr>
      <xdr:spPr>
        <a:xfrm>
          <a:off x="647700" y="148589"/>
          <a:ext cx="1502229" cy="259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>
              <a:solidFill>
                <a:sysClr val="windowText" lastClr="000000"/>
              </a:solidFill>
              <a:latin typeface="Georgia" panose="02040502050405020303" pitchFamily="18" charset="0"/>
            </a:rPr>
            <a:t>Marchandises</a:t>
          </a:r>
        </a:p>
      </xdr:txBody>
    </xdr:sp>
    <xdr:clientData/>
  </xdr:twoCellAnchor>
  <xdr:twoCellAnchor>
    <xdr:from>
      <xdr:col>0</xdr:col>
      <xdr:colOff>691243</xdr:colOff>
      <xdr:row>2</xdr:row>
      <xdr:rowOff>54427</xdr:rowOff>
    </xdr:from>
    <xdr:to>
      <xdr:col>2</xdr:col>
      <xdr:colOff>489858</xdr:colOff>
      <xdr:row>3</xdr:row>
      <xdr:rowOff>125185</xdr:rowOff>
    </xdr:to>
    <xdr:sp macro="" textlink="">
      <xdr:nvSpPr>
        <xdr:cNvPr id="1025" name="ZoneTexte 1024">
          <a:extLst>
            <a:ext uri="{FF2B5EF4-FFF2-40B4-BE49-F238E27FC236}">
              <a16:creationId xmlns:a16="http://schemas.microsoft.com/office/drawing/2014/main" id="{2F71B8A9-E11B-40DD-B5EC-2DCEB9B840C6}"/>
            </a:ext>
          </a:extLst>
        </xdr:cNvPr>
        <xdr:cNvSpPr txBox="1"/>
      </xdr:nvSpPr>
      <xdr:spPr>
        <a:xfrm>
          <a:off x="691243" y="424541"/>
          <a:ext cx="1387929" cy="2558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bg2">
                  <a:lumMod val="75000"/>
                </a:schemeClr>
              </a:solidFill>
              <a:latin typeface="Georgia" panose="02040502050405020303" pitchFamily="18" charset="0"/>
            </a:rPr>
            <a:t>Gestion des stocks</a:t>
          </a:r>
        </a:p>
      </xdr:txBody>
    </xdr:sp>
    <xdr:clientData/>
  </xdr:twoCellAnchor>
  <xdr:twoCellAnchor>
    <xdr:from>
      <xdr:col>0</xdr:col>
      <xdr:colOff>511629</xdr:colOff>
      <xdr:row>3</xdr:row>
      <xdr:rowOff>174170</xdr:rowOff>
    </xdr:from>
    <xdr:to>
      <xdr:col>2</xdr:col>
      <xdr:colOff>310244</xdr:colOff>
      <xdr:row>5</xdr:row>
      <xdr:rowOff>59870</xdr:rowOff>
    </xdr:to>
    <xdr:sp macro="" textlink="">
      <xdr:nvSpPr>
        <xdr:cNvPr id="1026" name="ZoneTexte 1025">
          <a:extLst>
            <a:ext uri="{FF2B5EF4-FFF2-40B4-BE49-F238E27FC236}">
              <a16:creationId xmlns:a16="http://schemas.microsoft.com/office/drawing/2014/main" id="{F007E435-F251-42E4-92C6-C65C777E055A}"/>
            </a:ext>
          </a:extLst>
        </xdr:cNvPr>
        <xdr:cNvSpPr txBox="1"/>
      </xdr:nvSpPr>
      <xdr:spPr>
        <a:xfrm>
          <a:off x="511629" y="729341"/>
          <a:ext cx="1387929" cy="2558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ysClr val="windowText" lastClr="000000"/>
              </a:solidFill>
              <a:latin typeface="Georgia" panose="02040502050405020303" pitchFamily="18" charset="0"/>
            </a:rPr>
            <a:t>Tableau de Bord</a:t>
          </a:r>
        </a:p>
      </xdr:txBody>
    </xdr:sp>
    <xdr:clientData/>
  </xdr:twoCellAnchor>
  <xdr:twoCellAnchor>
    <xdr:from>
      <xdr:col>0</xdr:col>
      <xdr:colOff>511629</xdr:colOff>
      <xdr:row>5</xdr:row>
      <xdr:rowOff>146956</xdr:rowOff>
    </xdr:from>
    <xdr:to>
      <xdr:col>2</xdr:col>
      <xdr:colOff>310244</xdr:colOff>
      <xdr:row>7</xdr:row>
      <xdr:rowOff>32657</xdr:rowOff>
    </xdr:to>
    <xdr:sp macro="[0]!VersOpérations" textlink="">
      <xdr:nvSpPr>
        <xdr:cNvPr id="1029" name="ZoneTexte 1028">
          <a:extLst>
            <a:ext uri="{FF2B5EF4-FFF2-40B4-BE49-F238E27FC236}">
              <a16:creationId xmlns:a16="http://schemas.microsoft.com/office/drawing/2014/main" id="{D1349AA6-31A2-4C35-85DB-13AE54563892}"/>
            </a:ext>
          </a:extLst>
        </xdr:cNvPr>
        <xdr:cNvSpPr txBox="1"/>
      </xdr:nvSpPr>
      <xdr:spPr>
        <a:xfrm>
          <a:off x="511629" y="1072242"/>
          <a:ext cx="1387929" cy="2558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bg2">
                  <a:lumMod val="75000"/>
                </a:schemeClr>
              </a:solidFill>
              <a:latin typeface="Georgia" panose="02040502050405020303" pitchFamily="18" charset="0"/>
            </a:rPr>
            <a:t>Opérations</a:t>
          </a:r>
        </a:p>
      </xdr:txBody>
    </xdr:sp>
    <xdr:clientData/>
  </xdr:twoCellAnchor>
  <xdr:twoCellAnchor>
    <xdr:from>
      <xdr:col>0</xdr:col>
      <xdr:colOff>511629</xdr:colOff>
      <xdr:row>7</xdr:row>
      <xdr:rowOff>119742</xdr:rowOff>
    </xdr:from>
    <xdr:to>
      <xdr:col>2</xdr:col>
      <xdr:colOff>310244</xdr:colOff>
      <xdr:row>9</xdr:row>
      <xdr:rowOff>5443</xdr:rowOff>
    </xdr:to>
    <xdr:sp macro="[0]!versInventaire" textlink="">
      <xdr:nvSpPr>
        <xdr:cNvPr id="1030" name="ZoneTexte 1029">
          <a:extLst>
            <a:ext uri="{FF2B5EF4-FFF2-40B4-BE49-F238E27FC236}">
              <a16:creationId xmlns:a16="http://schemas.microsoft.com/office/drawing/2014/main" id="{F916EAEF-B9DD-434A-9012-8FFEC00C3AAC}"/>
            </a:ext>
          </a:extLst>
        </xdr:cNvPr>
        <xdr:cNvSpPr txBox="1"/>
      </xdr:nvSpPr>
      <xdr:spPr>
        <a:xfrm>
          <a:off x="511629" y="1415142"/>
          <a:ext cx="1387929" cy="2558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bg2">
                  <a:lumMod val="75000"/>
                </a:schemeClr>
              </a:solidFill>
              <a:latin typeface="Georgia" panose="02040502050405020303" pitchFamily="18" charset="0"/>
            </a:rPr>
            <a:t>Inventaire</a:t>
          </a:r>
        </a:p>
      </xdr:txBody>
    </xdr:sp>
    <xdr:clientData/>
  </xdr:twoCellAnchor>
  <xdr:twoCellAnchor editAs="oneCell">
    <xdr:from>
      <xdr:col>0</xdr:col>
      <xdr:colOff>250372</xdr:colOff>
      <xdr:row>1</xdr:row>
      <xdr:rowOff>12518</xdr:rowOff>
    </xdr:from>
    <xdr:to>
      <xdr:col>0</xdr:col>
      <xdr:colOff>538372</xdr:colOff>
      <xdr:row>2</xdr:row>
      <xdr:rowOff>116064</xdr:rowOff>
    </xdr:to>
    <xdr:pic>
      <xdr:nvPicPr>
        <xdr:cNvPr id="1032" name="Image 1031">
          <a:extLst>
            <a:ext uri="{FF2B5EF4-FFF2-40B4-BE49-F238E27FC236}">
              <a16:creationId xmlns:a16="http://schemas.microsoft.com/office/drawing/2014/main" id="{5FD51402-4D5C-970D-DEDF-C2D700367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372" y="197575"/>
          <a:ext cx="288000" cy="288603"/>
        </a:xfrm>
        <a:prstGeom prst="rect">
          <a:avLst/>
        </a:prstGeom>
      </xdr:spPr>
    </xdr:pic>
    <xdr:clientData/>
  </xdr:twoCellAnchor>
  <xdr:twoCellAnchor editAs="oneCell">
    <xdr:from>
      <xdr:col>0</xdr:col>
      <xdr:colOff>253415</xdr:colOff>
      <xdr:row>3</xdr:row>
      <xdr:rowOff>155443</xdr:rowOff>
    </xdr:from>
    <xdr:to>
      <xdr:col>0</xdr:col>
      <xdr:colOff>541415</xdr:colOff>
      <xdr:row>5</xdr:row>
      <xdr:rowOff>73328</xdr:rowOff>
    </xdr:to>
    <xdr:pic>
      <xdr:nvPicPr>
        <xdr:cNvPr id="1034" name="Image 1033">
          <a:extLst>
            <a:ext uri="{FF2B5EF4-FFF2-40B4-BE49-F238E27FC236}">
              <a16:creationId xmlns:a16="http://schemas.microsoft.com/office/drawing/2014/main" id="{09228451-2930-A206-16D2-7E011D540F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415" y="710614"/>
          <a:ext cx="288000" cy="288000"/>
        </a:xfrm>
        <a:prstGeom prst="rect">
          <a:avLst/>
        </a:prstGeom>
      </xdr:spPr>
    </xdr:pic>
    <xdr:clientData/>
  </xdr:twoCellAnchor>
  <xdr:twoCellAnchor editAs="oneCell">
    <xdr:from>
      <xdr:col>0</xdr:col>
      <xdr:colOff>212915</xdr:colOff>
      <xdr:row>7</xdr:row>
      <xdr:rowOff>71400</xdr:rowOff>
    </xdr:from>
    <xdr:to>
      <xdr:col>0</xdr:col>
      <xdr:colOff>500915</xdr:colOff>
      <xdr:row>8</xdr:row>
      <xdr:rowOff>174343</xdr:rowOff>
    </xdr:to>
    <xdr:pic macro="[0]!versInventaire">
      <xdr:nvPicPr>
        <xdr:cNvPr id="1036" name="Image 1035">
          <a:extLst>
            <a:ext uri="{FF2B5EF4-FFF2-40B4-BE49-F238E27FC236}">
              <a16:creationId xmlns:a16="http://schemas.microsoft.com/office/drawing/2014/main" id="{7180F368-AF35-63FC-2963-0D43C31D1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915" y="1366800"/>
          <a:ext cx="288000" cy="288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254058</xdr:colOff>
      <xdr:row>5</xdr:row>
      <xdr:rowOff>150642</xdr:rowOff>
    </xdr:from>
    <xdr:to>
      <xdr:col>0</xdr:col>
      <xdr:colOff>542058</xdr:colOff>
      <xdr:row>7</xdr:row>
      <xdr:rowOff>68528</xdr:rowOff>
    </xdr:to>
    <xdr:pic macro="[0]!VersOpérations">
      <xdr:nvPicPr>
        <xdr:cNvPr id="1038" name="Image 1037">
          <a:extLst>
            <a:ext uri="{FF2B5EF4-FFF2-40B4-BE49-F238E27FC236}">
              <a16:creationId xmlns:a16="http://schemas.microsoft.com/office/drawing/2014/main" id="{4E4A5238-522F-1762-C234-1C99E38E76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254058" y="1075928"/>
          <a:ext cx="288000" cy="288000"/>
        </a:xfrm>
        <a:prstGeom prst="rect">
          <a:avLst/>
        </a:prstGeom>
      </xdr:spPr>
    </xdr:pic>
    <xdr:clientData/>
  </xdr:twoCellAnchor>
  <xdr:twoCellAnchor>
    <xdr:from>
      <xdr:col>0</xdr:col>
      <xdr:colOff>517071</xdr:colOff>
      <xdr:row>9</xdr:row>
      <xdr:rowOff>76201</xdr:rowOff>
    </xdr:from>
    <xdr:to>
      <xdr:col>1</xdr:col>
      <xdr:colOff>631372</xdr:colOff>
      <xdr:row>11</xdr:row>
      <xdr:rowOff>130630</xdr:rowOff>
    </xdr:to>
    <xdr:sp macro="[0]!actualiser" textlink="">
      <xdr:nvSpPr>
        <xdr:cNvPr id="1039" name="ZoneTexte 1038">
          <a:extLst>
            <a:ext uri="{FF2B5EF4-FFF2-40B4-BE49-F238E27FC236}">
              <a16:creationId xmlns:a16="http://schemas.microsoft.com/office/drawing/2014/main" id="{1DF3EE89-AF2D-477E-A357-EA32F36B2C35}"/>
            </a:ext>
          </a:extLst>
        </xdr:cNvPr>
        <xdr:cNvSpPr txBox="1"/>
      </xdr:nvSpPr>
      <xdr:spPr>
        <a:xfrm>
          <a:off x="517071" y="1741715"/>
          <a:ext cx="908958" cy="4245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ysClr val="windowText" lastClr="000000"/>
              </a:solidFill>
              <a:latin typeface="Georgia" panose="02040502050405020303" pitchFamily="18" charset="0"/>
            </a:rPr>
            <a:t>Dernière</a:t>
          </a:r>
          <a:r>
            <a:rPr lang="fr-FR" sz="1100" baseline="0">
              <a:solidFill>
                <a:sysClr val="windowText" lastClr="000000"/>
              </a:solidFill>
              <a:latin typeface="Georgia" panose="02040502050405020303" pitchFamily="18" charset="0"/>
            </a:rPr>
            <a:t> mise à jour</a:t>
          </a:r>
          <a:endParaRPr lang="fr-FR" sz="1100">
            <a:solidFill>
              <a:sysClr val="windowText" lastClr="000000"/>
            </a:solidFill>
            <a:latin typeface="Georgia" panose="02040502050405020303" pitchFamily="18" charset="0"/>
          </a:endParaRPr>
        </a:p>
      </xdr:txBody>
    </xdr:sp>
    <xdr:clientData/>
  </xdr:twoCellAnchor>
  <xdr:twoCellAnchor editAs="oneCell">
    <xdr:from>
      <xdr:col>0</xdr:col>
      <xdr:colOff>234043</xdr:colOff>
      <xdr:row>9</xdr:row>
      <xdr:rowOff>125186</xdr:rowOff>
    </xdr:from>
    <xdr:to>
      <xdr:col>0</xdr:col>
      <xdr:colOff>522043</xdr:colOff>
      <xdr:row>11</xdr:row>
      <xdr:rowOff>43071</xdr:rowOff>
    </xdr:to>
    <xdr:pic macro="[0]!actualiser">
      <xdr:nvPicPr>
        <xdr:cNvPr id="1041" name="Image 1040">
          <a:extLst>
            <a:ext uri="{FF2B5EF4-FFF2-40B4-BE49-F238E27FC236}">
              <a16:creationId xmlns:a16="http://schemas.microsoft.com/office/drawing/2014/main" id="{2E470376-D7CF-2253-AC43-7750F3850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043" y="1790700"/>
          <a:ext cx="288000" cy="288000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0.01353</cdr:x>
      <cdr:y>0.03275</cdr:y>
    </cdr:from>
    <cdr:to>
      <cdr:x>0.62836</cdr:x>
      <cdr:y>0.19816</cdr:y>
    </cdr:to>
    <cdr:sp macro="" textlink="">
      <cdr:nvSpPr>
        <cdr:cNvPr id="2" name="ZoneTexte 15">
          <a:extLst xmlns:a="http://schemas.openxmlformats.org/drawingml/2006/main">
            <a:ext uri="{FF2B5EF4-FFF2-40B4-BE49-F238E27FC236}">
              <a16:creationId xmlns:a16="http://schemas.microsoft.com/office/drawing/2014/main" id="{DF82D9AE-A36A-4D00-9659-BA73F167676A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2309068" cy="2565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 b="1">
              <a:solidFill>
                <a:sysClr val="windowText" lastClr="000000"/>
              </a:solidFill>
              <a:latin typeface="Georgia" panose="02040502050405020303" pitchFamily="18" charset="0"/>
            </a:rPr>
            <a:t>Total des Entrées du mois</a:t>
          </a:r>
        </a:p>
      </cdr:txBody>
    </cdr:sp>
  </cdr:relSizeAnchor>
  <cdr:relSizeAnchor xmlns:cdr="http://schemas.openxmlformats.org/drawingml/2006/chartDrawing">
    <cdr:from>
      <cdr:x>0.01353</cdr:x>
      <cdr:y>0.03275</cdr:y>
    </cdr:from>
    <cdr:to>
      <cdr:x>0.62836</cdr:x>
      <cdr:y>0.19816</cdr:y>
    </cdr:to>
    <cdr:sp macro="" textlink="">
      <cdr:nvSpPr>
        <cdr:cNvPr id="3" name="ZoneTexte 15">
          <a:extLst xmlns:a="http://schemas.openxmlformats.org/drawingml/2006/main">
            <a:ext uri="{FF2B5EF4-FFF2-40B4-BE49-F238E27FC236}">
              <a16:creationId xmlns:a16="http://schemas.microsoft.com/office/drawing/2014/main" id="{9AF80505-F771-CCE1-365F-B2E1BF2F46A1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2309068" cy="2565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 b="1">
              <a:solidFill>
                <a:sysClr val="windowText" lastClr="000000"/>
              </a:solidFill>
              <a:latin typeface="Georgia" panose="02040502050405020303" pitchFamily="18" charset="0"/>
            </a:rPr>
            <a:t>Total des Entrées du mois</a:t>
          </a:r>
        </a:p>
      </cdr:txBody>
    </cdr:sp>
  </cdr:relSizeAnchor>
  <cdr:relSizeAnchor xmlns:cdr="http://schemas.openxmlformats.org/drawingml/2006/chartDrawing">
    <cdr:from>
      <cdr:x>0.01353</cdr:x>
      <cdr:y>0.03275</cdr:y>
    </cdr:from>
    <cdr:to>
      <cdr:x>0.62836</cdr:x>
      <cdr:y>0.19816</cdr:y>
    </cdr:to>
    <cdr:sp macro="" textlink="">
      <cdr:nvSpPr>
        <cdr:cNvPr id="4" name="ZoneTexte 15">
          <a:extLst xmlns:a="http://schemas.openxmlformats.org/drawingml/2006/main">
            <a:ext uri="{FF2B5EF4-FFF2-40B4-BE49-F238E27FC236}">
              <a16:creationId xmlns:a16="http://schemas.microsoft.com/office/drawing/2014/main" id="{A437D5E0-2281-8312-5C64-28F8DBCF528D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2309068" cy="2565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 b="1">
              <a:solidFill>
                <a:sysClr val="windowText" lastClr="000000"/>
              </a:solidFill>
              <a:latin typeface="Georgia" panose="02040502050405020303" pitchFamily="18" charset="0"/>
            </a:rPr>
            <a:t>Total des Entrées du mois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0.0134</cdr:x>
      <cdr:y>0.03189</cdr:y>
    </cdr:from>
    <cdr:to>
      <cdr:x>0.62256</cdr:x>
      <cdr:y>0.19298</cdr:y>
    </cdr:to>
    <cdr:sp macro="" textlink="">
      <cdr:nvSpPr>
        <cdr:cNvPr id="3" name="ZoneTexte 15">
          <a:extLst xmlns:a="http://schemas.openxmlformats.org/drawingml/2006/main">
            <a:ext uri="{FF2B5EF4-FFF2-40B4-BE49-F238E27FC236}">
              <a16:creationId xmlns:a16="http://schemas.microsoft.com/office/drawing/2014/main" id="{A437D5E0-2281-8312-5C64-28F8DBCF528D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2309068" cy="25659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fr-FR" sz="1100" b="1">
              <a:solidFill>
                <a:sysClr val="windowText" lastClr="000000"/>
              </a:solidFill>
              <a:latin typeface="Georgia" panose="02040502050405020303" pitchFamily="18" charset="0"/>
            </a:rPr>
            <a:t>Total des Sorties du mois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996460</xdr:colOff>
      <xdr:row>17</xdr:row>
      <xdr:rowOff>49703</xdr:rowOff>
    </xdr:from>
    <xdr:to>
      <xdr:col>9</xdr:col>
      <xdr:colOff>35029</xdr:colOff>
      <xdr:row>18</xdr:row>
      <xdr:rowOff>21287</xdr:rowOff>
    </xdr:to>
    <xdr:sp macro="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46787035-7718-4DC3-92D6-B888E8F5C905}"/>
            </a:ext>
          </a:extLst>
        </xdr:cNvPr>
        <xdr:cNvSpPr/>
      </xdr:nvSpPr>
      <xdr:spPr>
        <a:xfrm>
          <a:off x="7221414" y="3859703"/>
          <a:ext cx="756000" cy="252938"/>
        </a:xfrm>
        <a:prstGeom prst="roundRect">
          <a:avLst/>
        </a:prstGeom>
        <a:solidFill>
          <a:srgbClr val="51459E"/>
        </a:solidFill>
        <a:ln>
          <a:noFill/>
        </a:ln>
        <a:effectLst>
          <a:glow rad="38100">
            <a:srgbClr val="51459E">
              <a:alpha val="33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="1" spc="110" baseline="0">
              <a:latin typeface="Gilroy-Bold" panose="00000800000000000000" pitchFamily="2" charset="0"/>
              <a:ea typeface="Open Sans" panose="020B0606030504020204" pitchFamily="34" charset="0"/>
              <a:cs typeface="Open Sans" panose="020B0606030504020204" pitchFamily="34" charset="0"/>
            </a:rPr>
            <a:t>Sortie</a:t>
          </a:r>
        </a:p>
      </xdr:txBody>
    </xdr:sp>
    <xdr:clientData/>
  </xdr:twoCellAnchor>
  <xdr:twoCellAnchor>
    <xdr:from>
      <xdr:col>6</xdr:col>
      <xdr:colOff>18288</xdr:colOff>
      <xdr:row>17</xdr:row>
      <xdr:rowOff>49703</xdr:rowOff>
    </xdr:from>
    <xdr:to>
      <xdr:col>6</xdr:col>
      <xdr:colOff>774288</xdr:colOff>
      <xdr:row>18</xdr:row>
      <xdr:rowOff>21287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559911A0-15C1-4265-B15E-19BED6FCECE2}"/>
            </a:ext>
          </a:extLst>
        </xdr:cNvPr>
        <xdr:cNvSpPr/>
      </xdr:nvSpPr>
      <xdr:spPr>
        <a:xfrm>
          <a:off x="3599688" y="3859703"/>
          <a:ext cx="756000" cy="252938"/>
        </a:xfrm>
        <a:prstGeom prst="roundRect">
          <a:avLst/>
        </a:prstGeom>
        <a:solidFill>
          <a:srgbClr val="FAFAFA"/>
        </a:solidFill>
        <a:ln>
          <a:noFill/>
        </a:ln>
        <a:effectLst>
          <a:glow rad="38100">
            <a:schemeClr val="bg1">
              <a:lumMod val="50000"/>
              <a:alpha val="3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900" b="1" i="0" u="none" strike="noStrike" kern="0" cap="none" spc="11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Gilroy-Bold" panose="00000800000000000000" pitchFamily="2" charset="0"/>
              <a:ea typeface="Open Sans" panose="020B0606030504020204" pitchFamily="34" charset="0"/>
              <a:cs typeface="Open Sans" panose="020B0606030504020204" pitchFamily="34" charset="0"/>
            </a:rPr>
            <a:t>Annuler</a:t>
          </a:r>
          <a:endParaRPr lang="fr-FR" sz="900" b="1">
            <a:solidFill>
              <a:schemeClr val="tx1"/>
            </a:solidFill>
            <a:latin typeface="Gilroy-Bold" panose="00000800000000000000" pitchFamily="2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>
    <xdr:from>
      <xdr:col>8</xdr:col>
      <xdr:colOff>12422</xdr:colOff>
      <xdr:row>17</xdr:row>
      <xdr:rowOff>49703</xdr:rowOff>
    </xdr:from>
    <xdr:to>
      <xdr:col>8</xdr:col>
      <xdr:colOff>768422</xdr:colOff>
      <xdr:row>18</xdr:row>
      <xdr:rowOff>21287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59CF9C97-38A7-4FCD-8781-C57AB63A9E48}"/>
            </a:ext>
          </a:extLst>
        </xdr:cNvPr>
        <xdr:cNvSpPr/>
      </xdr:nvSpPr>
      <xdr:spPr>
        <a:xfrm>
          <a:off x="6237376" y="3859703"/>
          <a:ext cx="756000" cy="252938"/>
        </a:xfrm>
        <a:prstGeom prst="roundRect">
          <a:avLst/>
        </a:prstGeom>
        <a:solidFill>
          <a:srgbClr val="51459E"/>
        </a:solidFill>
        <a:ln>
          <a:noFill/>
        </a:ln>
        <a:effectLst>
          <a:glow rad="38100">
            <a:srgbClr val="51459E">
              <a:alpha val="33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="1" spc="110" baseline="0">
              <a:latin typeface="Gilroy-Bold" panose="00000800000000000000" pitchFamily="2" charset="0"/>
              <a:ea typeface="Open Sans" panose="020B0606030504020204" pitchFamily="34" charset="0"/>
              <a:cs typeface="Open Sans" panose="020B0606030504020204" pitchFamily="34" charset="0"/>
            </a:rPr>
            <a:t>Entrée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690988</xdr:colOff>
      <xdr:row>9</xdr:row>
      <xdr:rowOff>145773</xdr:rowOff>
    </xdr:from>
    <xdr:to>
      <xdr:col>5</xdr:col>
      <xdr:colOff>1410988</xdr:colOff>
      <xdr:row>11</xdr:row>
      <xdr:rowOff>26712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84905012-F30E-45E8-B91E-98B0FB63AAFA}"/>
            </a:ext>
          </a:extLst>
        </xdr:cNvPr>
        <xdr:cNvSpPr/>
      </xdr:nvSpPr>
      <xdr:spPr>
        <a:xfrm>
          <a:off x="6581579" y="2252869"/>
          <a:ext cx="720000" cy="252000"/>
        </a:xfrm>
        <a:prstGeom prst="roundRect">
          <a:avLst/>
        </a:prstGeom>
        <a:solidFill>
          <a:srgbClr val="51459E"/>
        </a:solidFill>
        <a:ln>
          <a:noFill/>
        </a:ln>
        <a:effectLst>
          <a:glow rad="38100">
            <a:srgbClr val="51459E">
              <a:alpha val="33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900" b="1" spc="110" baseline="0">
              <a:latin typeface="Gilroy-Bold" panose="00000800000000000000" pitchFamily="2" charset="0"/>
              <a:ea typeface="Open Sans" panose="020B0606030504020204" pitchFamily="34" charset="0"/>
              <a:cs typeface="Open Sans" panose="020B0606030504020204" pitchFamily="34" charset="0"/>
            </a:rPr>
            <a:t>Ajouter</a:t>
          </a:r>
        </a:p>
      </xdr:txBody>
    </xdr:sp>
    <xdr:clientData/>
  </xdr:twoCellAnchor>
  <xdr:twoCellAnchor>
    <xdr:from>
      <xdr:col>4</xdr:col>
      <xdr:colOff>1179444</xdr:colOff>
      <xdr:row>9</xdr:row>
      <xdr:rowOff>145773</xdr:rowOff>
    </xdr:from>
    <xdr:to>
      <xdr:col>5</xdr:col>
      <xdr:colOff>527844</xdr:colOff>
      <xdr:row>11</xdr:row>
      <xdr:rowOff>26712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2901793D-7FE0-4780-89AE-DB69CF8F3EAF}"/>
            </a:ext>
          </a:extLst>
        </xdr:cNvPr>
        <xdr:cNvSpPr/>
      </xdr:nvSpPr>
      <xdr:spPr>
        <a:xfrm>
          <a:off x="5698435" y="2252869"/>
          <a:ext cx="720000" cy="252000"/>
        </a:xfrm>
        <a:prstGeom prst="roundRect">
          <a:avLst/>
        </a:prstGeom>
        <a:solidFill>
          <a:srgbClr val="FAFAFA"/>
        </a:solidFill>
        <a:ln>
          <a:noFill/>
        </a:ln>
        <a:effectLst>
          <a:glow rad="38100">
            <a:schemeClr val="bg1">
              <a:lumMod val="50000"/>
              <a:alpha val="3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900" b="1" i="0" u="none" strike="noStrike" kern="0" cap="none" spc="11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Gilroy-Bold" panose="00000800000000000000" pitchFamily="2" charset="0"/>
              <a:ea typeface="Open Sans" panose="020B0606030504020204" pitchFamily="34" charset="0"/>
              <a:cs typeface="Open Sans" panose="020B0606030504020204" pitchFamily="34" charset="0"/>
            </a:rPr>
            <a:t>Annuler</a:t>
          </a:r>
          <a:endParaRPr lang="fr-FR" sz="900" b="1">
            <a:solidFill>
              <a:schemeClr val="tx1"/>
            </a:solidFill>
            <a:latin typeface="Gilroy-Bold" panose="00000800000000000000" pitchFamily="2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247650</xdr:colOff>
      <xdr:row>0</xdr:row>
      <xdr:rowOff>64770</xdr:rowOff>
    </xdr:from>
    <xdr:to>
      <xdr:col>10</xdr:col>
      <xdr:colOff>491491</xdr:colOff>
      <xdr:row>9</xdr:row>
      <xdr:rowOff>63500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Catégories">
              <a:extLst>
                <a:ext uri="{FF2B5EF4-FFF2-40B4-BE49-F238E27FC236}">
                  <a16:creationId xmlns:a16="http://schemas.microsoft.com/office/drawing/2014/main" id="{0A506BF1-1D9D-38A0-5FD4-CB107AC4672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égorie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10575" y="64770"/>
              <a:ext cx="1824991" cy="162750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2</xdr:col>
      <xdr:colOff>318135</xdr:colOff>
      <xdr:row>24</xdr:row>
      <xdr:rowOff>118534</xdr:rowOff>
    </xdr:from>
    <xdr:to>
      <xdr:col>5</xdr:col>
      <xdr:colOff>241300</xdr:colOff>
      <xdr:row>37</xdr:row>
      <xdr:rowOff>97366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709604D-0825-E235-40F4-014F23D664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317502</xdr:colOff>
      <xdr:row>12</xdr:row>
      <xdr:rowOff>59264</xdr:rowOff>
    </xdr:from>
    <xdr:to>
      <xdr:col>5</xdr:col>
      <xdr:colOff>156635</xdr:colOff>
      <xdr:row>23</xdr:row>
      <xdr:rowOff>152398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E870CE46-2D8F-2256-C47B-8713DA52A8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664633</xdr:colOff>
      <xdr:row>12</xdr:row>
      <xdr:rowOff>93133</xdr:rowOff>
    </xdr:from>
    <xdr:to>
      <xdr:col>8</xdr:col>
      <xdr:colOff>778933</xdr:colOff>
      <xdr:row>24</xdr:row>
      <xdr:rowOff>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B91D0BC0-F015-ADC7-427F-AC9B3FC425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69850</xdr:colOff>
      <xdr:row>25</xdr:row>
      <xdr:rowOff>114299</xdr:rowOff>
    </xdr:from>
    <xdr:to>
      <xdr:col>9</xdr:col>
      <xdr:colOff>122767</xdr:colOff>
      <xdr:row>37</xdr:row>
      <xdr:rowOff>110066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7D06BE3B-F46A-4B97-336B-9CB058FFD9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446618</xdr:colOff>
      <xdr:row>37</xdr:row>
      <xdr:rowOff>143934</xdr:rowOff>
    </xdr:from>
    <xdr:to>
      <xdr:col>5</xdr:col>
      <xdr:colOff>491068</xdr:colOff>
      <xdr:row>50</xdr:row>
      <xdr:rowOff>122766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A4291023-D5A2-1AE7-815C-09E259C45D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91017</xdr:colOff>
      <xdr:row>38</xdr:row>
      <xdr:rowOff>33867</xdr:rowOff>
    </xdr:from>
    <xdr:to>
      <xdr:col>9</xdr:col>
      <xdr:colOff>220134</xdr:colOff>
      <xdr:row>50</xdr:row>
      <xdr:rowOff>152399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C52A277-D0FD-7243-026C-60377020C7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410633</xdr:colOff>
      <xdr:row>51</xdr:row>
      <xdr:rowOff>21166</xdr:rowOff>
    </xdr:from>
    <xdr:to>
      <xdr:col>12</xdr:col>
      <xdr:colOff>698500</xdr:colOff>
      <xdr:row>62</xdr:row>
      <xdr:rowOff>177799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EA806CEC-2B08-D1F6-B9FA-7D642C812A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88901</xdr:colOff>
      <xdr:row>50</xdr:row>
      <xdr:rowOff>156634</xdr:rowOff>
    </xdr:from>
    <xdr:to>
      <xdr:col>18</xdr:col>
      <xdr:colOff>279401</xdr:colOff>
      <xdr:row>63</xdr:row>
      <xdr:rowOff>38101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E6C07E84-51E8-167F-38F3-C5058336FB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685801</xdr:colOff>
      <xdr:row>71</xdr:row>
      <xdr:rowOff>55032</xdr:rowOff>
    </xdr:from>
    <xdr:to>
      <xdr:col>9</xdr:col>
      <xdr:colOff>554567</xdr:colOff>
      <xdr:row>82</xdr:row>
      <xdr:rowOff>12699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45B3C95C-27AA-3DDC-A202-3A453603ED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152401</xdr:colOff>
      <xdr:row>71</xdr:row>
      <xdr:rowOff>21166</xdr:rowOff>
    </xdr:from>
    <xdr:to>
      <xdr:col>15</xdr:col>
      <xdr:colOff>766234</xdr:colOff>
      <xdr:row>82</xdr:row>
      <xdr:rowOff>33866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5B1C0578-D107-A662-5073-174713E7A4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647700</xdr:colOff>
      <xdr:row>84</xdr:row>
      <xdr:rowOff>0</xdr:rowOff>
    </xdr:from>
    <xdr:to>
      <xdr:col>9</xdr:col>
      <xdr:colOff>556685</xdr:colOff>
      <xdr:row>93</xdr:row>
      <xdr:rowOff>135467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46E385BB-FDBF-4A0C-9371-6F0C13BA46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649605</xdr:colOff>
      <xdr:row>0</xdr:row>
      <xdr:rowOff>63817</xdr:rowOff>
    </xdr:from>
    <xdr:to>
      <xdr:col>13</xdr:col>
      <xdr:colOff>106680</xdr:colOff>
      <xdr:row>9</xdr:row>
      <xdr:rowOff>28575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1" name="Références">
              <a:extLst>
                <a:ext uri="{FF2B5EF4-FFF2-40B4-BE49-F238E27FC236}">
                  <a16:creationId xmlns:a16="http://schemas.microsoft.com/office/drawing/2014/main" id="{254F99B7-F8C4-728B-0B01-1B2FCC8CD1E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éférence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93680" y="63817"/>
              <a:ext cx="1828800" cy="15935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278130</xdr:colOff>
      <xdr:row>0</xdr:row>
      <xdr:rowOff>63818</xdr:rowOff>
    </xdr:from>
    <xdr:to>
      <xdr:col>15</xdr:col>
      <xdr:colOff>525780</xdr:colOff>
      <xdr:row>10</xdr:row>
      <xdr:rowOff>52388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8" name="Mois">
              <a:extLst>
                <a:ext uri="{FF2B5EF4-FFF2-40B4-BE49-F238E27FC236}">
                  <a16:creationId xmlns:a16="http://schemas.microsoft.com/office/drawing/2014/main" id="{CA380152-C9A8-8289-531B-1E194A71CDE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i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393930" y="63818"/>
              <a:ext cx="1828800" cy="17983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NSPIRON" refreshedDate="45257.306667824072" backgroundQuery="1" createdVersion="8" refreshedVersion="8" minRefreshableVersion="3" recordCount="0" supportSubquery="1" supportAdvancedDrill="1" xr:uid="{955C512D-9A88-4E1E-AA1C-E4EDD14F2863}">
  <cacheSource type="external" connectionId="1"/>
  <cacheFields count="3">
    <cacheField name="[listeVentes].[Désignation].[Désignation]" caption="Désignation" numFmtId="0" hierarchy="28" level="1">
      <sharedItems count="3">
        <s v="Cuisinière CANDY"/>
        <s v="GOOGLE PIXEL 5"/>
        <s v="IPHONE 13 PRO"/>
      </sharedItems>
    </cacheField>
    <cacheField name="[Measures].[Somme de Total 2]" caption="Somme de Total 2" numFmtId="0" hierarchy="46" level="32767"/>
    <cacheField name="[lesMois].[Mois].[Mois]" caption="Mois" numFmtId="0" hierarchy="1" level="1">
      <sharedItems containsSemiMixedTypes="0" containsNonDate="0" containsString="0"/>
    </cacheField>
  </cacheFields>
  <cacheHierarchies count="50">
    <cacheHierarchy uniqueName="[lesCategories].[Catégories]" caption="Catégories" attribute="1" defaultMemberUniqueName="[lesCategories].[Catégories].[All]" allUniqueName="[lesCategories].[Catégories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>
      <fieldsUsage count="2">
        <fieldUsage x="-1"/>
        <fieldUsage x="2"/>
      </fieldsUsage>
    </cacheHierarchy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0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Inventaire].[Référence]" caption="Référence" attribute="1" defaultMemberUniqueName="[listeInventaire].[Référence].[All]" allUniqueName="[listeInventaire].[Référence].[All]" dimensionUniqueName="[listeInventaire]" displayFolder="" count="0" memberValueDatatype="130" unbalanced="0"/>
    <cacheHierarchy uniqueName="[listeInventaire].[Désignation]" caption="Désignation" attribute="1" defaultMemberUniqueName="[listeInventaire].[Désignation].[All]" allUniqueName="[listeInventaire].[Désignation].[All]" dimensionUniqueName="[listeInventaire]" displayFolder="" count="0" memberValueDatatype="130" unbalanced="0"/>
    <cacheHierarchy uniqueName="[listeInventaire].[Catégorie]" caption="Catégorie" attribute="1" defaultMemberUniqueName="[listeInventaire].[Catégorie].[All]" allUniqueName="[listeInventaire].[Catégorie].[All]" dimensionUniqueName="[listeInventaire]" displayFolder="" count="0" memberValueDatatype="130" unbalanced="0"/>
    <cacheHierarchy uniqueName="[listeInventaire].[Unité]" caption="Unité" attribute="1" defaultMemberUniqueName="[listeInventaire].[Unité].[All]" allUniqueName="[listeInventaire].[Unité].[All]" dimensionUniqueName="[listeInventaire]" displayFolder="" count="0" memberValueDatatype="130" unbalanced="0"/>
    <cacheHierarchy uniqueName="[listeInventaire].[Seuil d'alerte]" caption="Seuil d'alerte" attribute="1" defaultMemberUniqueName="[listeInventaire].[Seuil d'alerte].[All]" allUniqueName="[listeInventaire].[Seuil d'alerte].[All]" dimensionUniqueName="[listeInventaire]" displayFolder="" count="0" memberValueDatatype="20" unbalanced="0"/>
    <cacheHierarchy uniqueName="[listeInventaire].[Stock initial]" caption="Stock initial" attribute="1" defaultMemberUniqueName="[listeInventaire].[Stock initial].[All]" allUniqueName="[listeInventaire].[Stock initial].[All]" dimensionUniqueName="[listeInventaire]" displayFolder="" count="0" memberValueDatatype="20" unbalanced="0"/>
    <cacheHierarchy uniqueName="[listeInventaire].[Entrées]" caption="Entrées" attribute="1" defaultMemberUniqueName="[listeInventaire].[Entrées].[All]" allUniqueName="[listeInventaire].[Entrées].[All]" dimensionUniqueName="[listeInventaire]" displayFolder="" count="0" memberValueDatatype="20" unbalanced="0"/>
    <cacheHierarchy uniqueName="[listeInventaire].[Sorties]" caption="Sorties" attribute="1" defaultMemberUniqueName="[listeInventaire].[Sorties].[All]" allUniqueName="[listeInventaire].[Sorties].[All]" dimensionUniqueName="[listeInventaire]" displayFolder="" count="0" memberValueDatatype="20" unbalanced="0"/>
    <cacheHierarchy uniqueName="[listeInventaire].[Stock final]" caption="Stock final" attribute="1" defaultMemberUniqueName="[listeInventaire].[Stock final].[All]" allUniqueName="[listeInventaire].[Stock final].[All]" dimensionUniqueName="[listeInventaire]" displayFolder="" count="0" memberValueDatatype="20" unbalanced="0"/>
    <cacheHierarchy uniqueName="[listeInventaire].[CUMP]" caption="CUMP" attribute="1" defaultMemberUniqueName="[listeInventaire].[CUMP].[All]" allUniqueName="[listeInventaire].[CUMP].[All]" dimensionUniqueName="[listeInventaire]" displayFolder="" count="0" memberValueDatatype="5" unbalanced="0"/>
    <cacheHierarchy uniqueName="[listeInventaire].[Valeur]" caption="Valeur" attribute="1" defaultMemberUniqueName="[listeInventaire].[Valeur].[All]" allUniqueName="[listeInventaire].[Valeur].[All]" dimensionUniqueName="[listeInventaire]" displayFolder="" count="0" memberValueDatatype="5" unbalanced="0"/>
    <cacheHierarchy uniqueName="[listeInventaire].[Statue]" caption="Statue" attribute="1" defaultMemberUniqueName="[listeInventaire].[Statue].[All]" allUniqueName="[listeInventaire].[Statue].[All]" dimensionUniqueName="[listeInventaire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2" memberValueDatatype="130" unbalanced="0">
      <fieldsUsage count="2">
        <fieldUsage x="-1"/>
        <fieldUsage x="0"/>
      </fieldsUsage>
    </cacheHierarchy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listeInventaire]" caption="__XL_Count listeInventaire" measure="1" displayFolder="" measureGroup="listeInventaire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Stock final]" caption="Somme de Stock final" measure="1" displayFolder="" measureGroup="listeInventaire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Valeur]" caption="Somme de Valeur" measure="1" displayFolder="" measureGroup="listeInventaire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7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Inventaire" uniqueName="[listeInventaire]" caption="listeInventaire"/>
    <dimension name="listeVentes" uniqueName="[listeVentes]" caption="listeVentes"/>
    <dimension measure="1" name="Measures" uniqueName="[Measures]" caption="Measures"/>
  </dimensions>
  <measureGroups count="6">
    <measureGroup name="lesCategories" caption="lesCategories"/>
    <measureGroup name="lesMois" caption="lesMois"/>
    <measureGroup name="lesReferences" caption="lesReferences"/>
    <measureGroup name="listeAchats" caption="listeAchats"/>
    <measureGroup name="listeInventaire" caption="listeInventaire"/>
    <measureGroup name="listeVentes" caption="listeVentes"/>
  </measureGroups>
  <maps count="12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4"/>
    <map measureGroup="5" dimension="0"/>
    <map measureGroup="5" dimension="1"/>
    <map measureGroup="5" dimension="2"/>
    <map measureGroup="5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NSPIRON" refreshedDate="45257.30666840278" backgroundQuery="1" createdVersion="8" refreshedVersion="8" minRefreshableVersion="3" recordCount="0" supportSubquery="1" supportAdvancedDrill="1" xr:uid="{73A1A410-B902-4602-AC8E-C0D5FD300355}">
  <cacheSource type="external" connectionId="1"/>
  <cacheFields count="3">
    <cacheField name="[listeAchats].[Catégorie].[Catégorie]" caption="Catégorie" numFmtId="0" hierarchy="7" level="1">
      <sharedItems count="4">
        <s v="Biscuits"/>
        <s v="Consoles"/>
        <s v="Electro"/>
        <s v="SmartPhone"/>
      </sharedItems>
    </cacheField>
    <cacheField name="[Measures].[Somme de Quantité]" caption="Somme de Quantité" numFmtId="0" hierarchy="44" level="32767"/>
    <cacheField name="[lesMois].[Mois].[Mois]" caption="Mois" numFmtId="0" hierarchy="1" level="1">
      <sharedItems containsSemiMixedTypes="0" containsNonDate="0" containsString="0"/>
    </cacheField>
  </cacheFields>
  <cacheHierarchies count="50">
    <cacheHierarchy uniqueName="[lesCategories].[Catégories]" caption="Catégories" attribute="1" defaultMemberUniqueName="[lesCategories].[Catégories].[All]" allUniqueName="[lesCategories].[Catégories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>
      <fieldsUsage count="2">
        <fieldUsage x="-1"/>
        <fieldUsage x="2"/>
      </fieldsUsage>
    </cacheHierarchy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0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2" memberValueDatatype="130" unbalanced="0">
      <fieldsUsage count="2">
        <fieldUsage x="-1"/>
        <fieldUsage x="0"/>
      </fieldsUsage>
    </cacheHierarchy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Inventaire].[Référence]" caption="Référence" attribute="1" defaultMemberUniqueName="[listeInventaire].[Référence].[All]" allUniqueName="[listeInventaire].[Référence].[All]" dimensionUniqueName="[listeInventaire]" displayFolder="" count="0" memberValueDatatype="130" unbalanced="0"/>
    <cacheHierarchy uniqueName="[listeInventaire].[Désignation]" caption="Désignation" attribute="1" defaultMemberUniqueName="[listeInventaire].[Désignation].[All]" allUniqueName="[listeInventaire].[Désignation].[All]" dimensionUniqueName="[listeInventaire]" displayFolder="" count="0" memberValueDatatype="130" unbalanced="0"/>
    <cacheHierarchy uniqueName="[listeInventaire].[Catégorie]" caption="Catégorie" attribute="1" defaultMemberUniqueName="[listeInventaire].[Catégorie].[All]" allUniqueName="[listeInventaire].[Catégorie].[All]" dimensionUniqueName="[listeInventaire]" displayFolder="" count="0" memberValueDatatype="130" unbalanced="0"/>
    <cacheHierarchy uniqueName="[listeInventaire].[Unité]" caption="Unité" attribute="1" defaultMemberUniqueName="[listeInventaire].[Unité].[All]" allUniqueName="[listeInventaire].[Unité].[All]" dimensionUniqueName="[listeInventaire]" displayFolder="" count="0" memberValueDatatype="130" unbalanced="0"/>
    <cacheHierarchy uniqueName="[listeInventaire].[Seuil d'alerte]" caption="Seuil d'alerte" attribute="1" defaultMemberUniqueName="[listeInventaire].[Seuil d'alerte].[All]" allUniqueName="[listeInventaire].[Seuil d'alerte].[All]" dimensionUniqueName="[listeInventaire]" displayFolder="" count="0" memberValueDatatype="20" unbalanced="0"/>
    <cacheHierarchy uniqueName="[listeInventaire].[Stock initial]" caption="Stock initial" attribute="1" defaultMemberUniqueName="[listeInventaire].[Stock initial].[All]" allUniqueName="[listeInventaire].[Stock initial].[All]" dimensionUniqueName="[listeInventaire]" displayFolder="" count="0" memberValueDatatype="20" unbalanced="0"/>
    <cacheHierarchy uniqueName="[listeInventaire].[Entrées]" caption="Entrées" attribute="1" defaultMemberUniqueName="[listeInventaire].[Entrées].[All]" allUniqueName="[listeInventaire].[Entrées].[All]" dimensionUniqueName="[listeInventaire]" displayFolder="" count="0" memberValueDatatype="20" unbalanced="0"/>
    <cacheHierarchy uniqueName="[listeInventaire].[Sorties]" caption="Sorties" attribute="1" defaultMemberUniqueName="[listeInventaire].[Sorties].[All]" allUniqueName="[listeInventaire].[Sorties].[All]" dimensionUniqueName="[listeInventaire]" displayFolder="" count="0" memberValueDatatype="20" unbalanced="0"/>
    <cacheHierarchy uniqueName="[listeInventaire].[Stock final]" caption="Stock final" attribute="1" defaultMemberUniqueName="[listeInventaire].[Stock final].[All]" allUniqueName="[listeInventaire].[Stock final].[All]" dimensionUniqueName="[listeInventaire]" displayFolder="" count="0" memberValueDatatype="20" unbalanced="0"/>
    <cacheHierarchy uniqueName="[listeInventaire].[CUMP]" caption="CUMP" attribute="1" defaultMemberUniqueName="[listeInventaire].[CUMP].[All]" allUniqueName="[listeInventaire].[CUMP].[All]" dimensionUniqueName="[listeInventaire]" displayFolder="" count="0" memberValueDatatype="5" unbalanced="0"/>
    <cacheHierarchy uniqueName="[listeInventaire].[Valeur]" caption="Valeur" attribute="1" defaultMemberUniqueName="[listeInventaire].[Valeur].[All]" allUniqueName="[listeInventaire].[Valeur].[All]" dimensionUniqueName="[listeInventaire]" displayFolder="" count="0" memberValueDatatype="5" unbalanced="0"/>
    <cacheHierarchy uniqueName="[listeInventaire].[Statue]" caption="Statue" attribute="1" defaultMemberUniqueName="[listeInventaire].[Statue].[All]" allUniqueName="[listeInventaire].[Statue].[All]" dimensionUniqueName="[listeInventaire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listeInventaire]" caption="__XL_Count listeInventaire" measure="1" displayFolder="" measureGroup="listeInventaire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Stock final]" caption="Somme de Stock final" measure="1" displayFolder="" measureGroup="listeInventaire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Valeur]" caption="Somme de Valeur" measure="1" displayFolder="" measureGroup="listeInventaire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7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Inventaire" uniqueName="[listeInventaire]" caption="listeInventaire"/>
    <dimension name="listeVentes" uniqueName="[listeVentes]" caption="listeVentes"/>
    <dimension measure="1" name="Measures" uniqueName="[Measures]" caption="Measures"/>
  </dimensions>
  <measureGroups count="6">
    <measureGroup name="lesCategories" caption="lesCategories"/>
    <measureGroup name="lesMois" caption="lesMois"/>
    <measureGroup name="lesReferences" caption="lesReferences"/>
    <measureGroup name="listeAchats" caption="listeAchats"/>
    <measureGroup name="listeInventaire" caption="listeInventaire"/>
    <measureGroup name="listeVentes" caption="listeVentes"/>
  </measureGroups>
  <maps count="12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4"/>
    <map measureGroup="5" dimension="0"/>
    <map measureGroup="5" dimension="1"/>
    <map measureGroup="5" dimension="2"/>
    <map measureGroup="5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NSPIRON" refreshedDate="45257.306668865742" backgroundQuery="1" createdVersion="8" refreshedVersion="8" minRefreshableVersion="3" recordCount="0" supportSubquery="1" supportAdvancedDrill="1" xr:uid="{717E80D0-3FAC-43F6-9463-CF64CAAE64CD}">
  <cacheSource type="external" connectionId="1"/>
  <cacheFields count="3">
    <cacheField name="[listeAchats].[Catégorie].[Catégorie]" caption="Catégorie" numFmtId="0" hierarchy="7" level="1">
      <sharedItems count="4">
        <s v="Biscuits"/>
        <s v="Consoles"/>
        <s v="Electro"/>
        <s v="SmartPhone"/>
      </sharedItems>
    </cacheField>
    <cacheField name="[Measures].[Somme de Total]" caption="Somme de Total" numFmtId="0" hierarchy="45" level="32767"/>
    <cacheField name="[lesMois].[Mois].[Mois]" caption="Mois" numFmtId="0" hierarchy="1" level="1">
      <sharedItems containsSemiMixedTypes="0" containsNonDate="0" containsString="0"/>
    </cacheField>
  </cacheFields>
  <cacheHierarchies count="50">
    <cacheHierarchy uniqueName="[lesCategories].[Catégories]" caption="Catégories" attribute="1" defaultMemberUniqueName="[lesCategories].[Catégories].[All]" allUniqueName="[lesCategories].[Catégories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>
      <fieldsUsage count="2">
        <fieldUsage x="-1"/>
        <fieldUsage x="2"/>
      </fieldsUsage>
    </cacheHierarchy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0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2" memberValueDatatype="130" unbalanced="0">
      <fieldsUsage count="2">
        <fieldUsage x="-1"/>
        <fieldUsage x="0"/>
      </fieldsUsage>
    </cacheHierarchy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Inventaire].[Référence]" caption="Référence" attribute="1" defaultMemberUniqueName="[listeInventaire].[Référence].[All]" allUniqueName="[listeInventaire].[Référence].[All]" dimensionUniqueName="[listeInventaire]" displayFolder="" count="0" memberValueDatatype="130" unbalanced="0"/>
    <cacheHierarchy uniqueName="[listeInventaire].[Désignation]" caption="Désignation" attribute="1" defaultMemberUniqueName="[listeInventaire].[Désignation].[All]" allUniqueName="[listeInventaire].[Désignation].[All]" dimensionUniqueName="[listeInventaire]" displayFolder="" count="0" memberValueDatatype="130" unbalanced="0"/>
    <cacheHierarchy uniqueName="[listeInventaire].[Catégorie]" caption="Catégorie" attribute="1" defaultMemberUniqueName="[listeInventaire].[Catégorie].[All]" allUniqueName="[listeInventaire].[Catégorie].[All]" dimensionUniqueName="[listeInventaire]" displayFolder="" count="0" memberValueDatatype="130" unbalanced="0"/>
    <cacheHierarchy uniqueName="[listeInventaire].[Unité]" caption="Unité" attribute="1" defaultMemberUniqueName="[listeInventaire].[Unité].[All]" allUniqueName="[listeInventaire].[Unité].[All]" dimensionUniqueName="[listeInventaire]" displayFolder="" count="0" memberValueDatatype="130" unbalanced="0"/>
    <cacheHierarchy uniqueName="[listeInventaire].[Seuil d'alerte]" caption="Seuil d'alerte" attribute="1" defaultMemberUniqueName="[listeInventaire].[Seuil d'alerte].[All]" allUniqueName="[listeInventaire].[Seuil d'alerte].[All]" dimensionUniqueName="[listeInventaire]" displayFolder="" count="0" memberValueDatatype="20" unbalanced="0"/>
    <cacheHierarchy uniqueName="[listeInventaire].[Stock initial]" caption="Stock initial" attribute="1" defaultMemberUniqueName="[listeInventaire].[Stock initial].[All]" allUniqueName="[listeInventaire].[Stock initial].[All]" dimensionUniqueName="[listeInventaire]" displayFolder="" count="0" memberValueDatatype="20" unbalanced="0"/>
    <cacheHierarchy uniqueName="[listeInventaire].[Entrées]" caption="Entrées" attribute="1" defaultMemberUniqueName="[listeInventaire].[Entrées].[All]" allUniqueName="[listeInventaire].[Entrées].[All]" dimensionUniqueName="[listeInventaire]" displayFolder="" count="0" memberValueDatatype="20" unbalanced="0"/>
    <cacheHierarchy uniqueName="[listeInventaire].[Sorties]" caption="Sorties" attribute="1" defaultMemberUniqueName="[listeInventaire].[Sorties].[All]" allUniqueName="[listeInventaire].[Sorties].[All]" dimensionUniqueName="[listeInventaire]" displayFolder="" count="0" memberValueDatatype="20" unbalanced="0"/>
    <cacheHierarchy uniqueName="[listeInventaire].[Stock final]" caption="Stock final" attribute="1" defaultMemberUniqueName="[listeInventaire].[Stock final].[All]" allUniqueName="[listeInventaire].[Stock final].[All]" dimensionUniqueName="[listeInventaire]" displayFolder="" count="0" memberValueDatatype="20" unbalanced="0"/>
    <cacheHierarchy uniqueName="[listeInventaire].[CUMP]" caption="CUMP" attribute="1" defaultMemberUniqueName="[listeInventaire].[CUMP].[All]" allUniqueName="[listeInventaire].[CUMP].[All]" dimensionUniqueName="[listeInventaire]" displayFolder="" count="0" memberValueDatatype="5" unbalanced="0"/>
    <cacheHierarchy uniqueName="[listeInventaire].[Valeur]" caption="Valeur" attribute="1" defaultMemberUniqueName="[listeInventaire].[Valeur].[All]" allUniqueName="[listeInventaire].[Valeur].[All]" dimensionUniqueName="[listeInventaire]" displayFolder="" count="0" memberValueDatatype="5" unbalanced="0"/>
    <cacheHierarchy uniqueName="[listeInventaire].[Statue]" caption="Statue" attribute="1" defaultMemberUniqueName="[listeInventaire].[Statue].[All]" allUniqueName="[listeInventaire].[Statue].[All]" dimensionUniqueName="[listeInventaire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listeInventaire]" caption="__XL_Count listeInventaire" measure="1" displayFolder="" measureGroup="listeInventaire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Total]" caption="Somme de Total" measure="1" displayFolder="" measureGroup="listeAchat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Stock final]" caption="Somme de Stock final" measure="1" displayFolder="" measureGroup="listeInventaire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Valeur]" caption="Somme de Valeur" measure="1" displayFolder="" measureGroup="listeInventaire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7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Inventaire" uniqueName="[listeInventaire]" caption="listeInventaire"/>
    <dimension name="listeVentes" uniqueName="[listeVentes]" caption="listeVentes"/>
    <dimension measure="1" name="Measures" uniqueName="[Measures]" caption="Measures"/>
  </dimensions>
  <measureGroups count="6">
    <measureGroup name="lesCategories" caption="lesCategories"/>
    <measureGroup name="lesMois" caption="lesMois"/>
    <measureGroup name="lesReferences" caption="lesReferences"/>
    <measureGroup name="listeAchats" caption="listeAchats"/>
    <measureGroup name="listeInventaire" caption="listeInventaire"/>
    <measureGroup name="listeVentes" caption="listeVentes"/>
  </measureGroups>
  <maps count="12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4"/>
    <map measureGroup="5" dimension="0"/>
    <map measureGroup="5" dimension="1"/>
    <map measureGroup="5" dimension="2"/>
    <map measureGroup="5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NSPIRON" refreshedDate="45257.306669560188" backgroundQuery="1" createdVersion="8" refreshedVersion="8" minRefreshableVersion="3" recordCount="0" supportSubquery="1" supportAdvancedDrill="1" xr:uid="{1007ACA2-6AB5-4FA6-A1ED-C760E22BC098}">
  <cacheSource type="external" connectionId="1"/>
  <cacheFields count="3">
    <cacheField name="[listeVentes].[Catégorie].[Catégorie]" caption="Catégorie" numFmtId="0" hierarchy="29" level="1">
      <sharedItems count="4">
        <s v="Biscuits"/>
        <s v="Consoles"/>
        <s v="Electro"/>
        <s v="SmartPhone"/>
      </sharedItems>
    </cacheField>
    <cacheField name="[Measures].[Somme de Quantité 2]" caption="Somme de Quantité 2" numFmtId="0" hierarchy="47" level="32767"/>
    <cacheField name="[lesMois].[Mois].[Mois]" caption="Mois" numFmtId="0" hierarchy="1" level="1">
      <sharedItems containsSemiMixedTypes="0" containsNonDate="0" containsString="0"/>
    </cacheField>
  </cacheFields>
  <cacheHierarchies count="50">
    <cacheHierarchy uniqueName="[lesCategories].[Catégories]" caption="Catégories" attribute="1" defaultMemberUniqueName="[lesCategories].[Catégories].[All]" allUniqueName="[lesCategories].[Catégories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>
      <fieldsUsage count="2">
        <fieldUsage x="-1"/>
        <fieldUsage x="2"/>
      </fieldsUsage>
    </cacheHierarchy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0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Inventaire].[Référence]" caption="Référence" attribute="1" defaultMemberUniqueName="[listeInventaire].[Référence].[All]" allUniqueName="[listeInventaire].[Référence].[All]" dimensionUniqueName="[listeInventaire]" displayFolder="" count="0" memberValueDatatype="130" unbalanced="0"/>
    <cacheHierarchy uniqueName="[listeInventaire].[Désignation]" caption="Désignation" attribute="1" defaultMemberUniqueName="[listeInventaire].[Désignation].[All]" allUniqueName="[listeInventaire].[Désignation].[All]" dimensionUniqueName="[listeInventaire]" displayFolder="" count="0" memberValueDatatype="130" unbalanced="0"/>
    <cacheHierarchy uniqueName="[listeInventaire].[Catégorie]" caption="Catégorie" attribute="1" defaultMemberUniqueName="[listeInventaire].[Catégorie].[All]" allUniqueName="[listeInventaire].[Catégorie].[All]" dimensionUniqueName="[listeInventaire]" displayFolder="" count="0" memberValueDatatype="130" unbalanced="0"/>
    <cacheHierarchy uniqueName="[listeInventaire].[Unité]" caption="Unité" attribute="1" defaultMemberUniqueName="[listeInventaire].[Unité].[All]" allUniqueName="[listeInventaire].[Unité].[All]" dimensionUniqueName="[listeInventaire]" displayFolder="" count="0" memberValueDatatype="130" unbalanced="0"/>
    <cacheHierarchy uniqueName="[listeInventaire].[Seuil d'alerte]" caption="Seuil d'alerte" attribute="1" defaultMemberUniqueName="[listeInventaire].[Seuil d'alerte].[All]" allUniqueName="[listeInventaire].[Seuil d'alerte].[All]" dimensionUniqueName="[listeInventaire]" displayFolder="" count="0" memberValueDatatype="20" unbalanced="0"/>
    <cacheHierarchy uniqueName="[listeInventaire].[Stock initial]" caption="Stock initial" attribute="1" defaultMemberUniqueName="[listeInventaire].[Stock initial].[All]" allUniqueName="[listeInventaire].[Stock initial].[All]" dimensionUniqueName="[listeInventaire]" displayFolder="" count="0" memberValueDatatype="20" unbalanced="0"/>
    <cacheHierarchy uniqueName="[listeInventaire].[Entrées]" caption="Entrées" attribute="1" defaultMemberUniqueName="[listeInventaire].[Entrées].[All]" allUniqueName="[listeInventaire].[Entrées].[All]" dimensionUniqueName="[listeInventaire]" displayFolder="" count="0" memberValueDatatype="20" unbalanced="0"/>
    <cacheHierarchy uniqueName="[listeInventaire].[Sorties]" caption="Sorties" attribute="1" defaultMemberUniqueName="[listeInventaire].[Sorties].[All]" allUniqueName="[listeInventaire].[Sorties].[All]" dimensionUniqueName="[listeInventaire]" displayFolder="" count="0" memberValueDatatype="20" unbalanced="0"/>
    <cacheHierarchy uniqueName="[listeInventaire].[Stock final]" caption="Stock final" attribute="1" defaultMemberUniqueName="[listeInventaire].[Stock final].[All]" allUniqueName="[listeInventaire].[Stock final].[All]" dimensionUniqueName="[listeInventaire]" displayFolder="" count="0" memberValueDatatype="20" unbalanced="0"/>
    <cacheHierarchy uniqueName="[listeInventaire].[CUMP]" caption="CUMP" attribute="1" defaultMemberUniqueName="[listeInventaire].[CUMP].[All]" allUniqueName="[listeInventaire].[CUMP].[All]" dimensionUniqueName="[listeInventaire]" displayFolder="" count="0" memberValueDatatype="5" unbalanced="0"/>
    <cacheHierarchy uniqueName="[listeInventaire].[Valeur]" caption="Valeur" attribute="1" defaultMemberUniqueName="[listeInventaire].[Valeur].[All]" allUniqueName="[listeInventaire].[Valeur].[All]" dimensionUniqueName="[listeInventaire]" displayFolder="" count="0" memberValueDatatype="5" unbalanced="0"/>
    <cacheHierarchy uniqueName="[listeInventaire].[Statue]" caption="Statue" attribute="1" defaultMemberUniqueName="[listeInventaire].[Statue].[All]" allUniqueName="[listeInventaire].[Statue].[All]" dimensionUniqueName="[listeInventaire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2" memberValueDatatype="130" unbalanced="0">
      <fieldsUsage count="2">
        <fieldUsage x="-1"/>
        <fieldUsage x="0"/>
      </fieldsUsage>
    </cacheHierarchy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listeInventaire]" caption="__XL_Count listeInventaire" measure="1" displayFolder="" measureGroup="listeInventaire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Quantité 2]" caption="Somme de Quantité 2" measure="1" displayFolder="" measureGroup="listeVent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Stock final]" caption="Somme de Stock final" measure="1" displayFolder="" measureGroup="listeInventaire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Valeur]" caption="Somme de Valeur" measure="1" displayFolder="" measureGroup="listeInventaire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7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Inventaire" uniqueName="[listeInventaire]" caption="listeInventaire"/>
    <dimension name="listeVentes" uniqueName="[listeVentes]" caption="listeVentes"/>
    <dimension measure="1" name="Measures" uniqueName="[Measures]" caption="Measures"/>
  </dimensions>
  <measureGroups count="6">
    <measureGroup name="lesCategories" caption="lesCategories"/>
    <measureGroup name="lesMois" caption="lesMois"/>
    <measureGroup name="lesReferences" caption="lesReferences"/>
    <measureGroup name="listeAchats" caption="listeAchats"/>
    <measureGroup name="listeInventaire" caption="listeInventaire"/>
    <measureGroup name="listeVentes" caption="listeVentes"/>
  </measureGroups>
  <maps count="12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4"/>
    <map measureGroup="5" dimension="0"/>
    <map measureGroup="5" dimension="1"/>
    <map measureGroup="5" dimension="2"/>
    <map measureGroup="5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NSPIRON" refreshedDate="45257.30667002315" backgroundQuery="1" createdVersion="8" refreshedVersion="8" minRefreshableVersion="3" recordCount="0" supportSubquery="1" supportAdvancedDrill="1" xr:uid="{01D62F09-34E1-43C6-B2AF-9BB1409E533A}">
  <cacheSource type="external" connectionId="1"/>
  <cacheFields count="3">
    <cacheField name="[listeVentes].[Catégorie].[Catégorie]" caption="Catégorie" numFmtId="0" hierarchy="29" level="1">
      <sharedItems count="4">
        <s v="Biscuits"/>
        <s v="Consoles"/>
        <s v="Electro"/>
        <s v="SmartPhone"/>
      </sharedItems>
    </cacheField>
    <cacheField name="[Measures].[Somme de Total 2]" caption="Somme de Total 2" numFmtId="0" hierarchy="46" level="32767"/>
    <cacheField name="[lesMois].[Mois].[Mois]" caption="Mois" numFmtId="0" hierarchy="1" level="1">
      <sharedItems containsSemiMixedTypes="0" containsNonDate="0" containsString="0"/>
    </cacheField>
  </cacheFields>
  <cacheHierarchies count="50">
    <cacheHierarchy uniqueName="[lesCategories].[Catégories]" caption="Catégories" attribute="1" defaultMemberUniqueName="[lesCategories].[Catégories].[All]" allUniqueName="[lesCategories].[Catégories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>
      <fieldsUsage count="2">
        <fieldUsage x="-1"/>
        <fieldUsage x="2"/>
      </fieldsUsage>
    </cacheHierarchy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0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Inventaire].[Référence]" caption="Référence" attribute="1" defaultMemberUniqueName="[listeInventaire].[Référence].[All]" allUniqueName="[listeInventaire].[Référence].[All]" dimensionUniqueName="[listeInventaire]" displayFolder="" count="0" memberValueDatatype="130" unbalanced="0"/>
    <cacheHierarchy uniqueName="[listeInventaire].[Désignation]" caption="Désignation" attribute="1" defaultMemberUniqueName="[listeInventaire].[Désignation].[All]" allUniqueName="[listeInventaire].[Désignation].[All]" dimensionUniqueName="[listeInventaire]" displayFolder="" count="0" memberValueDatatype="130" unbalanced="0"/>
    <cacheHierarchy uniqueName="[listeInventaire].[Catégorie]" caption="Catégorie" attribute="1" defaultMemberUniqueName="[listeInventaire].[Catégorie].[All]" allUniqueName="[listeInventaire].[Catégorie].[All]" dimensionUniqueName="[listeInventaire]" displayFolder="" count="0" memberValueDatatype="130" unbalanced="0"/>
    <cacheHierarchy uniqueName="[listeInventaire].[Unité]" caption="Unité" attribute="1" defaultMemberUniqueName="[listeInventaire].[Unité].[All]" allUniqueName="[listeInventaire].[Unité].[All]" dimensionUniqueName="[listeInventaire]" displayFolder="" count="0" memberValueDatatype="130" unbalanced="0"/>
    <cacheHierarchy uniqueName="[listeInventaire].[Seuil d'alerte]" caption="Seuil d'alerte" attribute="1" defaultMemberUniqueName="[listeInventaire].[Seuil d'alerte].[All]" allUniqueName="[listeInventaire].[Seuil d'alerte].[All]" dimensionUniqueName="[listeInventaire]" displayFolder="" count="0" memberValueDatatype="20" unbalanced="0"/>
    <cacheHierarchy uniqueName="[listeInventaire].[Stock initial]" caption="Stock initial" attribute="1" defaultMemberUniqueName="[listeInventaire].[Stock initial].[All]" allUniqueName="[listeInventaire].[Stock initial].[All]" dimensionUniqueName="[listeInventaire]" displayFolder="" count="0" memberValueDatatype="20" unbalanced="0"/>
    <cacheHierarchy uniqueName="[listeInventaire].[Entrées]" caption="Entrées" attribute="1" defaultMemberUniqueName="[listeInventaire].[Entrées].[All]" allUniqueName="[listeInventaire].[Entrées].[All]" dimensionUniqueName="[listeInventaire]" displayFolder="" count="0" memberValueDatatype="20" unbalanced="0"/>
    <cacheHierarchy uniqueName="[listeInventaire].[Sorties]" caption="Sorties" attribute="1" defaultMemberUniqueName="[listeInventaire].[Sorties].[All]" allUniqueName="[listeInventaire].[Sorties].[All]" dimensionUniqueName="[listeInventaire]" displayFolder="" count="0" memberValueDatatype="20" unbalanced="0"/>
    <cacheHierarchy uniqueName="[listeInventaire].[Stock final]" caption="Stock final" attribute="1" defaultMemberUniqueName="[listeInventaire].[Stock final].[All]" allUniqueName="[listeInventaire].[Stock final].[All]" dimensionUniqueName="[listeInventaire]" displayFolder="" count="0" memberValueDatatype="20" unbalanced="0"/>
    <cacheHierarchy uniqueName="[listeInventaire].[CUMP]" caption="CUMP" attribute="1" defaultMemberUniqueName="[listeInventaire].[CUMP].[All]" allUniqueName="[listeInventaire].[CUMP].[All]" dimensionUniqueName="[listeInventaire]" displayFolder="" count="0" memberValueDatatype="5" unbalanced="0"/>
    <cacheHierarchy uniqueName="[listeInventaire].[Valeur]" caption="Valeur" attribute="1" defaultMemberUniqueName="[listeInventaire].[Valeur].[All]" allUniqueName="[listeInventaire].[Valeur].[All]" dimensionUniqueName="[listeInventaire]" displayFolder="" count="0" memberValueDatatype="5" unbalanced="0"/>
    <cacheHierarchy uniqueName="[listeInventaire].[Statue]" caption="Statue" attribute="1" defaultMemberUniqueName="[listeInventaire].[Statue].[All]" allUniqueName="[listeInventaire].[Statue].[All]" dimensionUniqueName="[listeInventaire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2" memberValueDatatype="130" unbalanced="0">
      <fieldsUsage count="2">
        <fieldUsage x="-1"/>
        <fieldUsage x="0"/>
      </fieldsUsage>
    </cacheHierarchy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listeInventaire]" caption="__XL_Count listeInventaire" measure="1" displayFolder="" measureGroup="listeInventaire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Stock final]" caption="Somme de Stock final" measure="1" displayFolder="" measureGroup="listeInventaire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Valeur]" caption="Somme de Valeur" measure="1" displayFolder="" measureGroup="listeInventaire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7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Inventaire" uniqueName="[listeInventaire]" caption="listeInventaire"/>
    <dimension name="listeVentes" uniqueName="[listeVentes]" caption="listeVentes"/>
    <dimension measure="1" name="Measures" uniqueName="[Measures]" caption="Measures"/>
  </dimensions>
  <measureGroups count="6">
    <measureGroup name="lesCategories" caption="lesCategories"/>
    <measureGroup name="lesMois" caption="lesMois"/>
    <measureGroup name="lesReferences" caption="lesReferences"/>
    <measureGroup name="listeAchats" caption="listeAchats"/>
    <measureGroup name="listeInventaire" caption="listeInventaire"/>
    <measureGroup name="listeVentes" caption="listeVentes"/>
  </measureGroups>
  <maps count="12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4"/>
    <map measureGroup="5" dimension="0"/>
    <map measureGroup="5" dimension="1"/>
    <map measureGroup="5" dimension="2"/>
    <map measureGroup="5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NSPIRON" refreshedDate="45257.34900115741" backgroundQuery="1" createdVersion="8" refreshedVersion="8" minRefreshableVersion="3" recordCount="0" supportSubquery="1" supportAdvancedDrill="1" xr:uid="{99C4C5B3-B52D-4CE8-BE4D-8F87D8956470}">
  <cacheSource type="external" connectionId="1"/>
  <cacheFields count="2">
    <cacheField name="[listeInventaire].[Catégorie].[Catégorie]" caption="Catégorie" numFmtId="0" hierarchy="15" level="1">
      <sharedItems count="4">
        <s v="Biscuits"/>
        <s v="Consoles"/>
        <s v="Electro"/>
        <s v="SmartPhone"/>
      </sharedItems>
    </cacheField>
    <cacheField name="[Measures].[Somme de Valeur]" caption="Somme de Valeur" numFmtId="0" hierarchy="49" level="32767"/>
  </cacheFields>
  <cacheHierarchies count="50">
    <cacheHierarchy uniqueName="[lesCategories].[Catégories]" caption="Catégories" attribute="1" defaultMemberUniqueName="[lesCategories].[Catégories].[All]" allUniqueName="[lesCategories].[Catégories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0" memberValueDatatype="130" unbalanced="0"/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0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Inventaire].[Référence]" caption="Référence" attribute="1" defaultMemberUniqueName="[listeInventaire].[Référence].[All]" allUniqueName="[listeInventaire].[Référence].[All]" dimensionUniqueName="[listeInventaire]" displayFolder="" count="0" memberValueDatatype="130" unbalanced="0"/>
    <cacheHierarchy uniqueName="[listeInventaire].[Désignation]" caption="Désignation" attribute="1" defaultMemberUniqueName="[listeInventaire].[Désignation].[All]" allUniqueName="[listeInventaire].[Désignation].[All]" dimensionUniqueName="[listeInventaire]" displayFolder="" count="0" memberValueDatatype="130" unbalanced="0"/>
    <cacheHierarchy uniqueName="[listeInventaire].[Catégorie]" caption="Catégorie" attribute="1" defaultMemberUniqueName="[listeInventaire].[Catégorie].[All]" allUniqueName="[listeInventaire].[Catégorie].[All]" dimensionUniqueName="[listeInventaire]" displayFolder="" count="2" memberValueDatatype="130" unbalanced="0">
      <fieldsUsage count="2">
        <fieldUsage x="-1"/>
        <fieldUsage x="0"/>
      </fieldsUsage>
    </cacheHierarchy>
    <cacheHierarchy uniqueName="[listeInventaire].[Unité]" caption="Unité" attribute="1" defaultMemberUniqueName="[listeInventaire].[Unité].[All]" allUniqueName="[listeInventaire].[Unité].[All]" dimensionUniqueName="[listeInventaire]" displayFolder="" count="0" memberValueDatatype="130" unbalanced="0"/>
    <cacheHierarchy uniqueName="[listeInventaire].[Seuil d'alerte]" caption="Seuil d'alerte" attribute="1" defaultMemberUniqueName="[listeInventaire].[Seuil d'alerte].[All]" allUniqueName="[listeInventaire].[Seuil d'alerte].[All]" dimensionUniqueName="[listeInventaire]" displayFolder="" count="0" memberValueDatatype="20" unbalanced="0"/>
    <cacheHierarchy uniqueName="[listeInventaire].[Stock initial]" caption="Stock initial" attribute="1" defaultMemberUniqueName="[listeInventaire].[Stock initial].[All]" allUniqueName="[listeInventaire].[Stock initial].[All]" dimensionUniqueName="[listeInventaire]" displayFolder="" count="0" memberValueDatatype="20" unbalanced="0"/>
    <cacheHierarchy uniqueName="[listeInventaire].[Entrées]" caption="Entrées" attribute="1" defaultMemberUniqueName="[listeInventaire].[Entrées].[All]" allUniqueName="[listeInventaire].[Entrées].[All]" dimensionUniqueName="[listeInventaire]" displayFolder="" count="0" memberValueDatatype="20" unbalanced="0"/>
    <cacheHierarchy uniqueName="[listeInventaire].[Sorties]" caption="Sorties" attribute="1" defaultMemberUniqueName="[listeInventaire].[Sorties].[All]" allUniqueName="[listeInventaire].[Sorties].[All]" dimensionUniqueName="[listeInventaire]" displayFolder="" count="0" memberValueDatatype="20" unbalanced="0"/>
    <cacheHierarchy uniqueName="[listeInventaire].[Stock final]" caption="Stock final" attribute="1" defaultMemberUniqueName="[listeInventaire].[Stock final].[All]" allUniqueName="[listeInventaire].[Stock final].[All]" dimensionUniqueName="[listeInventaire]" displayFolder="" count="0" memberValueDatatype="20" unbalanced="0"/>
    <cacheHierarchy uniqueName="[listeInventaire].[CUMP]" caption="CUMP" attribute="1" defaultMemberUniqueName="[listeInventaire].[CUMP].[All]" allUniqueName="[listeInventaire].[CUMP].[All]" dimensionUniqueName="[listeInventaire]" displayFolder="" count="0" memberValueDatatype="5" unbalanced="0"/>
    <cacheHierarchy uniqueName="[listeInventaire].[Valeur]" caption="Valeur" attribute="1" defaultMemberUniqueName="[listeInventaire].[Valeur].[All]" allUniqueName="[listeInventaire].[Valeur].[All]" dimensionUniqueName="[listeInventaire]" displayFolder="" count="0" memberValueDatatype="5" unbalanced="0"/>
    <cacheHierarchy uniqueName="[listeInventaire].[Statue]" caption="Statue" attribute="1" defaultMemberUniqueName="[listeInventaire].[Statue].[All]" allUniqueName="[listeInventaire].[Statue].[All]" dimensionUniqueName="[listeInventaire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listeInventaire]" caption="__XL_Count listeInventaire" measure="1" displayFolder="" measureGroup="listeInventaire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Stock final]" caption="Somme de Stock final" measure="1" displayFolder="" measureGroup="listeInventaire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Valeur]" caption="Somme de Valeur" measure="1" displayFolder="" measureGroup="listeInventair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7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Inventaire" uniqueName="[listeInventaire]" caption="listeInventaire"/>
    <dimension name="listeVentes" uniqueName="[listeVentes]" caption="listeVentes"/>
    <dimension measure="1" name="Measures" uniqueName="[Measures]" caption="Measures"/>
  </dimensions>
  <measureGroups count="6">
    <measureGroup name="lesCategories" caption="lesCategories"/>
    <measureGroup name="lesMois" caption="lesMois"/>
    <measureGroup name="lesReferences" caption="lesReferences"/>
    <measureGroup name="listeAchats" caption="listeAchats"/>
    <measureGroup name="listeInventaire" caption="listeInventaire"/>
    <measureGroup name="listeVentes" caption="listeVentes"/>
  </measureGroups>
  <maps count="12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4"/>
    <map measureGroup="5" dimension="0"/>
    <map measureGroup="5" dimension="1"/>
    <map measureGroup="5" dimension="2"/>
    <map measureGroup="5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NSPIRON" refreshedDate="45257.349002777781" backgroundQuery="1" createdVersion="8" refreshedVersion="8" minRefreshableVersion="3" recordCount="0" supportSubquery="1" supportAdvancedDrill="1" xr:uid="{F3BD3247-52DE-4035-BA3D-2820CF1370E5}">
  <cacheSource type="external" connectionId="1"/>
  <cacheFields count="2">
    <cacheField name="[listeInventaire].[Catégorie].[Catégorie]" caption="Catégorie" numFmtId="0" hierarchy="15" level="1">
      <sharedItems count="4">
        <s v="Biscuits"/>
        <s v="Consoles"/>
        <s v="Electro"/>
        <s v="SmartPhone"/>
      </sharedItems>
    </cacheField>
    <cacheField name="[Measures].[Somme de Stock final]" caption="Somme de Stock final" numFmtId="0" hierarchy="48" level="32767"/>
  </cacheFields>
  <cacheHierarchies count="50">
    <cacheHierarchy uniqueName="[lesCategories].[Catégories]" caption="Catégories" attribute="1" defaultMemberUniqueName="[lesCategories].[Catégories].[All]" allUniqueName="[lesCategories].[Catégories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0" memberValueDatatype="130" unbalanced="0"/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0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Inventaire].[Référence]" caption="Référence" attribute="1" defaultMemberUniqueName="[listeInventaire].[Référence].[All]" allUniqueName="[listeInventaire].[Référence].[All]" dimensionUniqueName="[listeInventaire]" displayFolder="" count="0" memberValueDatatype="130" unbalanced="0"/>
    <cacheHierarchy uniqueName="[listeInventaire].[Désignation]" caption="Désignation" attribute="1" defaultMemberUniqueName="[listeInventaire].[Désignation].[All]" allUniqueName="[listeInventaire].[Désignation].[All]" dimensionUniqueName="[listeInventaire]" displayFolder="" count="0" memberValueDatatype="130" unbalanced="0"/>
    <cacheHierarchy uniqueName="[listeInventaire].[Catégorie]" caption="Catégorie" attribute="1" defaultMemberUniqueName="[listeInventaire].[Catégorie].[All]" allUniqueName="[listeInventaire].[Catégorie].[All]" dimensionUniqueName="[listeInventaire]" displayFolder="" count="2" memberValueDatatype="130" unbalanced="0">
      <fieldsUsage count="2">
        <fieldUsage x="-1"/>
        <fieldUsage x="0"/>
      </fieldsUsage>
    </cacheHierarchy>
    <cacheHierarchy uniqueName="[listeInventaire].[Unité]" caption="Unité" attribute="1" defaultMemberUniqueName="[listeInventaire].[Unité].[All]" allUniqueName="[listeInventaire].[Unité].[All]" dimensionUniqueName="[listeInventaire]" displayFolder="" count="0" memberValueDatatype="130" unbalanced="0"/>
    <cacheHierarchy uniqueName="[listeInventaire].[Seuil d'alerte]" caption="Seuil d'alerte" attribute="1" defaultMemberUniqueName="[listeInventaire].[Seuil d'alerte].[All]" allUniqueName="[listeInventaire].[Seuil d'alerte].[All]" dimensionUniqueName="[listeInventaire]" displayFolder="" count="0" memberValueDatatype="20" unbalanced="0"/>
    <cacheHierarchy uniqueName="[listeInventaire].[Stock initial]" caption="Stock initial" attribute="1" defaultMemberUniqueName="[listeInventaire].[Stock initial].[All]" allUniqueName="[listeInventaire].[Stock initial].[All]" dimensionUniqueName="[listeInventaire]" displayFolder="" count="0" memberValueDatatype="20" unbalanced="0"/>
    <cacheHierarchy uniqueName="[listeInventaire].[Entrées]" caption="Entrées" attribute="1" defaultMemberUniqueName="[listeInventaire].[Entrées].[All]" allUniqueName="[listeInventaire].[Entrées].[All]" dimensionUniqueName="[listeInventaire]" displayFolder="" count="0" memberValueDatatype="20" unbalanced="0"/>
    <cacheHierarchy uniqueName="[listeInventaire].[Sorties]" caption="Sorties" attribute="1" defaultMemberUniqueName="[listeInventaire].[Sorties].[All]" allUniqueName="[listeInventaire].[Sorties].[All]" dimensionUniqueName="[listeInventaire]" displayFolder="" count="0" memberValueDatatype="20" unbalanced="0"/>
    <cacheHierarchy uniqueName="[listeInventaire].[Stock final]" caption="Stock final" attribute="1" defaultMemberUniqueName="[listeInventaire].[Stock final].[All]" allUniqueName="[listeInventaire].[Stock final].[All]" dimensionUniqueName="[listeInventaire]" displayFolder="" count="0" memberValueDatatype="20" unbalanced="0"/>
    <cacheHierarchy uniqueName="[listeInventaire].[CUMP]" caption="CUMP" attribute="1" defaultMemberUniqueName="[listeInventaire].[CUMP].[All]" allUniqueName="[listeInventaire].[CUMP].[All]" dimensionUniqueName="[listeInventaire]" displayFolder="" count="0" memberValueDatatype="5" unbalanced="0"/>
    <cacheHierarchy uniqueName="[listeInventaire].[Valeur]" caption="Valeur" attribute="1" defaultMemberUniqueName="[listeInventaire].[Valeur].[All]" allUniqueName="[listeInventaire].[Valeur].[All]" dimensionUniqueName="[listeInventaire]" displayFolder="" count="0" memberValueDatatype="5" unbalanced="0"/>
    <cacheHierarchy uniqueName="[listeInventaire].[Statue]" caption="Statue" attribute="1" defaultMemberUniqueName="[listeInventaire].[Statue].[All]" allUniqueName="[listeInventaire].[Statue].[All]" dimensionUniqueName="[listeInventaire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listeInventaire]" caption="__XL_Count listeInventaire" measure="1" displayFolder="" measureGroup="listeInventaire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Stock final]" caption="Somme de Stock final" measure="1" displayFolder="" measureGroup="listeInventaire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Valeur]" caption="Somme de Valeur" measure="1" displayFolder="" measureGroup="listeInventaire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7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Inventaire" uniqueName="[listeInventaire]" caption="listeInventaire"/>
    <dimension name="listeVentes" uniqueName="[listeVentes]" caption="listeVentes"/>
    <dimension measure="1" name="Measures" uniqueName="[Measures]" caption="Measures"/>
  </dimensions>
  <measureGroups count="6">
    <measureGroup name="lesCategories" caption="lesCategories"/>
    <measureGroup name="lesMois" caption="lesMois"/>
    <measureGroup name="lesReferences" caption="lesReferences"/>
    <measureGroup name="listeAchats" caption="listeAchats"/>
    <measureGroup name="listeInventaire" caption="listeInventaire"/>
    <measureGroup name="listeVentes" caption="listeVentes"/>
  </measureGroups>
  <maps count="12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4"/>
    <map measureGroup="5" dimension="0"/>
    <map measureGroup="5" dimension="1"/>
    <map measureGroup="5" dimension="2"/>
    <map measureGroup="5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NSPIRON" refreshedDate="45257.349004282405" createdVersion="8" refreshedVersion="8" minRefreshableVersion="3" recordCount="11" xr:uid="{F32516D6-6D02-4E75-ABAA-EAA7AF8013B5}">
  <cacheSource type="worksheet">
    <worksheetSource name="listeInventaire"/>
  </cacheSource>
  <cacheFields count="12">
    <cacheField name="Référence" numFmtId="0">
      <sharedItems/>
    </cacheField>
    <cacheField name="Désignation" numFmtId="0">
      <sharedItems count="9">
        <s v="GOOGLE PIXEL 5"/>
        <s v="IPHONE 13 PRO"/>
        <s v="Oreo"/>
        <s v="Réfrigérateur WHIRLPOOL"/>
        <s v="Réfrigérateur SIERA"/>
        <s v="Cuisinière SIERA"/>
        <s v="Cuisinière CANDY"/>
        <s v="PLAYSTATION PS5 "/>
        <s v="NINTENDO SWITCH"/>
      </sharedItems>
    </cacheField>
    <cacheField name="Catégorie" numFmtId="0">
      <sharedItems/>
    </cacheField>
    <cacheField name="Unité" numFmtId="0">
      <sharedItems/>
    </cacheField>
    <cacheField name="Seuil d'alerte" numFmtId="0">
      <sharedItems containsSemiMixedTypes="0" containsString="0" containsNumber="1" containsInteger="1" minValue="10" maxValue="50"/>
    </cacheField>
    <cacheField name="Stock initial" numFmtId="0">
      <sharedItems containsSemiMixedTypes="0" containsString="0" containsNumber="1" containsInteger="1" minValue="0" maxValue="20"/>
    </cacheField>
    <cacheField name="Entrées" numFmtId="0">
      <sharedItems containsSemiMixedTypes="0" containsString="0" containsNumber="1" containsInteger="1" minValue="24" maxValue="320"/>
    </cacheField>
    <cacheField name="Sorties" numFmtId="0">
      <sharedItems containsSemiMixedTypes="0" containsString="0" containsNumber="1" containsInteger="1" minValue="21" maxValue="195"/>
    </cacheField>
    <cacheField name="Stock final" numFmtId="0">
      <sharedItems containsSemiMixedTypes="0" containsString="0" containsNumber="1" containsInteger="1" minValue="0" maxValue="130"/>
    </cacheField>
    <cacheField name="CUMP" numFmtId="164">
      <sharedItems containsSemiMixedTypes="0" containsString="0" containsNumber="1" minValue="0.20904761904761907" maxValue="1400"/>
    </cacheField>
    <cacheField name="Valeur" numFmtId="164">
      <sharedItems containsSemiMixedTypes="0" containsString="0" containsNumber="1" minValue="0" maxValue="16800"/>
    </cacheField>
    <cacheField name="Statue" numFmtId="0">
      <sharedItems count="3">
        <s v="Stock normal"/>
        <s v="Stock faible"/>
        <s v="Non disponibl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NSPIRON" refreshedDate="45257.35481759259" backgroundQuery="1" createdVersion="8" refreshedVersion="8" minRefreshableVersion="3" recordCount="0" supportSubquery="1" supportAdvancedDrill="1" xr:uid="{7052620E-CD97-4714-B534-628F3766662E}">
  <cacheSource type="external" connectionId="1"/>
  <cacheFields count="3">
    <cacheField name="[Measures].[Somme de Quantité]" caption="Somme de Quantité" numFmtId="0" hierarchy="44" level="32767"/>
    <cacheField name="[Measures].[Somme de Total]" caption="Somme de Total" numFmtId="0" hierarchy="45" level="32767"/>
    <cacheField name="[lesCategories].[Catégories].[Catégories]" caption="Catégories" numFmtId="0" level="1">
      <sharedItems containsSemiMixedTypes="0" containsNonDate="0" containsString="0"/>
    </cacheField>
  </cacheFields>
  <cacheHierarchies count="50">
    <cacheHierarchy uniqueName="[lesCategories].[Catégories]" caption="Catégories" attribute="1" defaultMemberUniqueName="[lesCategories].[Catégories].[All]" allUniqueName="[lesCategories].[Catégories].[All]" dimensionUniqueName="[lesCategories]" displayFolder="" count="2" memberValueDatatype="130" unbalanced="0">
      <fieldsUsage count="2">
        <fieldUsage x="-1"/>
        <fieldUsage x="2"/>
      </fieldsUsage>
    </cacheHierarchy>
    <cacheHierarchy uniqueName="[lesMois].[Mois]" caption="Mois" attribute="1" defaultMemberUniqueName="[lesMois].[Mois].[All]" allUniqueName="[lesMois].[Mois].[All]" dimensionUniqueName="[lesMois]" displayFolder="" count="2" memberValueDatatype="130" unbalanced="0"/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2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2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2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2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2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2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2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2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2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2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2" memberValueDatatype="130" unbalanced="0"/>
    <cacheHierarchy uniqueName="[listeInventaire].[Référence]" caption="Référence" attribute="1" defaultMemberUniqueName="[listeInventaire].[Référence].[All]" allUniqueName="[listeInventaire].[Référence].[All]" dimensionUniqueName="[listeInventaire]" displayFolder="" count="2" memberValueDatatype="130" unbalanced="0"/>
    <cacheHierarchy uniqueName="[listeInventaire].[Désignation]" caption="Désignation" attribute="1" defaultMemberUniqueName="[listeInventaire].[Désignation].[All]" allUniqueName="[listeInventaire].[Désignation].[All]" dimensionUniqueName="[listeInventaire]" displayFolder="" count="2" memberValueDatatype="130" unbalanced="0"/>
    <cacheHierarchy uniqueName="[listeInventaire].[Catégorie]" caption="Catégorie" attribute="1" defaultMemberUniqueName="[listeInventaire].[Catégorie].[All]" allUniqueName="[listeInventaire].[Catégorie].[All]" dimensionUniqueName="[listeInventaire]" displayFolder="" count="2" memberValueDatatype="130" unbalanced="0"/>
    <cacheHierarchy uniqueName="[listeInventaire].[Unité]" caption="Unité" attribute="1" defaultMemberUniqueName="[listeInventaire].[Unité].[All]" allUniqueName="[listeInventaire].[Unité].[All]" dimensionUniqueName="[listeInventaire]" displayFolder="" count="2" memberValueDatatype="130" unbalanced="0"/>
    <cacheHierarchy uniqueName="[listeInventaire].[Seuil d'alerte]" caption="Seuil d'alerte" attribute="1" defaultMemberUniqueName="[listeInventaire].[Seuil d'alerte].[All]" allUniqueName="[listeInventaire].[Seuil d'alerte].[All]" dimensionUniqueName="[listeInventaire]" displayFolder="" count="2" memberValueDatatype="20" unbalanced="0"/>
    <cacheHierarchy uniqueName="[listeInventaire].[Stock initial]" caption="Stock initial" attribute="1" defaultMemberUniqueName="[listeInventaire].[Stock initial].[All]" allUniqueName="[listeInventaire].[Stock initial].[All]" dimensionUniqueName="[listeInventaire]" displayFolder="" count="2" memberValueDatatype="20" unbalanced="0"/>
    <cacheHierarchy uniqueName="[listeInventaire].[Entrées]" caption="Entrées" attribute="1" defaultMemberUniqueName="[listeInventaire].[Entrées].[All]" allUniqueName="[listeInventaire].[Entrées].[All]" dimensionUniqueName="[listeInventaire]" displayFolder="" count="2" memberValueDatatype="20" unbalanced="0"/>
    <cacheHierarchy uniqueName="[listeInventaire].[Sorties]" caption="Sorties" attribute="1" defaultMemberUniqueName="[listeInventaire].[Sorties].[All]" allUniqueName="[listeInventaire].[Sorties].[All]" dimensionUniqueName="[listeInventaire]" displayFolder="" count="2" memberValueDatatype="20" unbalanced="0"/>
    <cacheHierarchy uniqueName="[listeInventaire].[Stock final]" caption="Stock final" attribute="1" defaultMemberUniqueName="[listeInventaire].[Stock final].[All]" allUniqueName="[listeInventaire].[Stock final].[All]" dimensionUniqueName="[listeInventaire]" displayFolder="" count="2" memberValueDatatype="20" unbalanced="0"/>
    <cacheHierarchy uniqueName="[listeInventaire].[CUMP]" caption="CUMP" attribute="1" defaultMemberUniqueName="[listeInventaire].[CUMP].[All]" allUniqueName="[listeInventaire].[CUMP].[All]" dimensionUniqueName="[listeInventaire]" displayFolder="" count="2" memberValueDatatype="5" unbalanced="0"/>
    <cacheHierarchy uniqueName="[listeInventaire].[Valeur]" caption="Valeur" attribute="1" defaultMemberUniqueName="[listeInventaire].[Valeur].[All]" allUniqueName="[listeInventaire].[Valeur].[All]" dimensionUniqueName="[listeInventaire]" displayFolder="" count="2" memberValueDatatype="5" unbalanced="0"/>
    <cacheHierarchy uniqueName="[listeInventaire].[Statue]" caption="Statue" attribute="1" defaultMemberUniqueName="[listeInventaire].[Statue].[All]" allUniqueName="[listeInventaire].[Statue].[All]" dimensionUniqueName="[listeInventaire]" displayFolder="" count="2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2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2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2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2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2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2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2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2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2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2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2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2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listeInventaire]" caption="__XL_Count listeInventaire" measure="1" displayFolder="" measureGroup="listeInventaire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Total]" caption="Somme de Total" measure="1" displayFolder="" measureGroup="listeAchat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Stock final]" caption="Somme de Stock final" measure="1" displayFolder="" measureGroup="listeInventaire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Valeur]" caption="Somme de Valeur" measure="1" displayFolder="" measureGroup="listeInventaire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7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Inventaire" uniqueName="[listeInventaire]" caption="listeInventaire"/>
    <dimension name="listeVentes" uniqueName="[listeVentes]" caption="listeVentes"/>
    <dimension measure="1" name="Measures" uniqueName="[Measures]" caption="Measures"/>
  </dimensions>
  <measureGroups count="6">
    <measureGroup name="lesCategories" caption="lesCategories"/>
    <measureGroup name="lesMois" caption="lesMois"/>
    <measureGroup name="lesReferences" caption="lesReferences"/>
    <measureGroup name="listeAchats" caption="listeAchats"/>
    <measureGroup name="listeInventaire" caption="listeInventaire"/>
    <measureGroup name="listeVentes" caption="listeVentes"/>
  </measureGroups>
  <maps count="12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4"/>
    <map measureGroup="5" dimension="0"/>
    <map measureGroup="5" dimension="1"/>
    <map measureGroup="5" dimension="2"/>
    <map measureGroup="5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NSPIRON" refreshedDate="45257.354855324076" backgroundQuery="1" createdVersion="8" refreshedVersion="8" minRefreshableVersion="3" recordCount="0" supportSubquery="1" supportAdvancedDrill="1" xr:uid="{CD430798-B463-4D27-ADE8-9EF29D111146}">
  <cacheSource type="external" connectionId="1"/>
  <cacheFields count="3">
    <cacheField name="[Measures].[Somme de Quantité 2]" caption="Somme de Quantité 2" numFmtId="0" hierarchy="47" level="32767"/>
    <cacheField name="[Measures].[Somme de Total 2]" caption="Somme de Total 2" numFmtId="0" hierarchy="46" level="32767"/>
    <cacheField name="[lesReferences].[Références].[Références]" caption="Références" numFmtId="0" hierarchy="2" level="1">
      <sharedItems containsSemiMixedTypes="0" containsNonDate="0" containsString="0"/>
    </cacheField>
  </cacheFields>
  <cacheHierarchies count="50">
    <cacheHierarchy uniqueName="[lesCategories].[Catégories]" caption="Catégories" attribute="1" defaultMemberUniqueName="[lesCategories].[Catégories].[All]" allUniqueName="[lesCategories].[Catégories].[All]" dimensionUniqueName="[lesCategories]" displayFolder="" count="2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/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2" memberValueDatatype="130" unbalanced="0">
      <fieldsUsage count="2">
        <fieldUsage x="-1"/>
        <fieldUsage x="2"/>
      </fieldsUsage>
    </cacheHierarchy>
    <cacheHierarchy uniqueName="[listeAchats].[Numéro]" caption="Numéro" attribute="1" defaultMemberUniqueName="[listeAchats].[Numéro].[All]" allUniqueName="[listeAchats].[Numéro].[All]" dimensionUniqueName="[listeAchats]" displayFolder="" count="2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2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2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2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2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2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2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2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2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2" memberValueDatatype="130" unbalanced="0"/>
    <cacheHierarchy uniqueName="[listeInventaire].[Référence]" caption="Référence" attribute="1" defaultMemberUniqueName="[listeInventaire].[Référence].[All]" allUniqueName="[listeInventaire].[Référence].[All]" dimensionUniqueName="[listeInventaire]" displayFolder="" count="2" memberValueDatatype="130" unbalanced="0"/>
    <cacheHierarchy uniqueName="[listeInventaire].[Désignation]" caption="Désignation" attribute="1" defaultMemberUniqueName="[listeInventaire].[Désignation].[All]" allUniqueName="[listeInventaire].[Désignation].[All]" dimensionUniqueName="[listeInventaire]" displayFolder="" count="2" memberValueDatatype="130" unbalanced="0"/>
    <cacheHierarchy uniqueName="[listeInventaire].[Catégorie]" caption="Catégorie" attribute="1" defaultMemberUniqueName="[listeInventaire].[Catégorie].[All]" allUniqueName="[listeInventaire].[Catégorie].[All]" dimensionUniqueName="[listeInventaire]" displayFolder="" count="2" memberValueDatatype="130" unbalanced="0"/>
    <cacheHierarchy uniqueName="[listeInventaire].[Unité]" caption="Unité" attribute="1" defaultMemberUniqueName="[listeInventaire].[Unité].[All]" allUniqueName="[listeInventaire].[Unité].[All]" dimensionUniqueName="[listeInventaire]" displayFolder="" count="2" memberValueDatatype="130" unbalanced="0"/>
    <cacheHierarchy uniqueName="[listeInventaire].[Seuil d'alerte]" caption="Seuil d'alerte" attribute="1" defaultMemberUniqueName="[listeInventaire].[Seuil d'alerte].[All]" allUniqueName="[listeInventaire].[Seuil d'alerte].[All]" dimensionUniqueName="[listeInventaire]" displayFolder="" count="2" memberValueDatatype="20" unbalanced="0"/>
    <cacheHierarchy uniqueName="[listeInventaire].[Stock initial]" caption="Stock initial" attribute="1" defaultMemberUniqueName="[listeInventaire].[Stock initial].[All]" allUniqueName="[listeInventaire].[Stock initial].[All]" dimensionUniqueName="[listeInventaire]" displayFolder="" count="2" memberValueDatatype="20" unbalanced="0"/>
    <cacheHierarchy uniqueName="[listeInventaire].[Entrées]" caption="Entrées" attribute="1" defaultMemberUniqueName="[listeInventaire].[Entrées].[All]" allUniqueName="[listeInventaire].[Entrées].[All]" dimensionUniqueName="[listeInventaire]" displayFolder="" count="2" memberValueDatatype="20" unbalanced="0"/>
    <cacheHierarchy uniqueName="[listeInventaire].[Sorties]" caption="Sorties" attribute="1" defaultMemberUniqueName="[listeInventaire].[Sorties].[All]" allUniqueName="[listeInventaire].[Sorties].[All]" dimensionUniqueName="[listeInventaire]" displayFolder="" count="2" memberValueDatatype="20" unbalanced="0"/>
    <cacheHierarchy uniqueName="[listeInventaire].[Stock final]" caption="Stock final" attribute="1" defaultMemberUniqueName="[listeInventaire].[Stock final].[All]" allUniqueName="[listeInventaire].[Stock final].[All]" dimensionUniqueName="[listeInventaire]" displayFolder="" count="2" memberValueDatatype="20" unbalanced="0"/>
    <cacheHierarchy uniqueName="[listeInventaire].[CUMP]" caption="CUMP" attribute="1" defaultMemberUniqueName="[listeInventaire].[CUMP].[All]" allUniqueName="[listeInventaire].[CUMP].[All]" dimensionUniqueName="[listeInventaire]" displayFolder="" count="2" memberValueDatatype="5" unbalanced="0"/>
    <cacheHierarchy uniqueName="[listeInventaire].[Valeur]" caption="Valeur" attribute="1" defaultMemberUniqueName="[listeInventaire].[Valeur].[All]" allUniqueName="[listeInventaire].[Valeur].[All]" dimensionUniqueName="[listeInventaire]" displayFolder="" count="2" memberValueDatatype="5" unbalanced="0"/>
    <cacheHierarchy uniqueName="[listeInventaire].[Statue]" caption="Statue" attribute="1" defaultMemberUniqueName="[listeInventaire].[Statue].[All]" allUniqueName="[listeInventaire].[Statue].[All]" dimensionUniqueName="[listeInventaire]" displayFolder="" count="2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2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2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2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2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2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2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2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2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2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2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2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2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listeInventaire]" caption="__XL_Count listeInventaire" measure="1" displayFolder="" measureGroup="listeInventaire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Quantité 2]" caption="Somme de Quantité 2" measure="1" displayFolder="" measureGroup="listeVente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Stock final]" caption="Somme de Stock final" measure="1" displayFolder="" measureGroup="listeInventaire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Valeur]" caption="Somme de Valeur" measure="1" displayFolder="" measureGroup="listeInventaire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7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Inventaire" uniqueName="[listeInventaire]" caption="listeInventaire"/>
    <dimension name="listeVentes" uniqueName="[listeVentes]" caption="listeVentes"/>
    <dimension measure="1" name="Measures" uniqueName="[Measures]" caption="Measures"/>
  </dimensions>
  <measureGroups count="6">
    <measureGroup name="lesCategories" caption="lesCategories"/>
    <measureGroup name="lesMois" caption="lesMois"/>
    <measureGroup name="lesReferences" caption="lesReferences"/>
    <measureGroup name="listeAchats" caption="listeAchats"/>
    <measureGroup name="listeInventaire" caption="listeInventaire"/>
    <measureGroup name="listeVentes" caption="listeVentes"/>
  </measureGroups>
  <maps count="12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4"/>
    <map measureGroup="5" dimension="0"/>
    <map measureGroup="5" dimension="1"/>
    <map measureGroup="5" dimension="2"/>
    <map measureGroup="5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NSPIRON" refreshedDate="45257.354856134261" backgroundQuery="1" createdVersion="8" refreshedVersion="8" minRefreshableVersion="3" recordCount="0" supportSubquery="1" supportAdvancedDrill="1" xr:uid="{38F78106-57BE-4883-BB7D-25A70F2566E7}">
  <cacheSource type="external" connectionId="1"/>
  <cacheFields count="4">
    <cacheField name="[listeAchats].[Date].[Date]" caption="Date" numFmtId="0" hierarchy="4" level="1">
      <sharedItems containsSemiMixedTypes="0" containsNonDate="0" containsDate="1" containsString="0" minDate="2022-01-01T00:00:00" maxDate="2022-05-23T00:00:00" count="34">
        <d v="2022-01-01T00:00:00"/>
        <d v="2022-01-02T00:00:00"/>
        <d v="2022-01-05T00:00:00"/>
        <d v="2022-01-16T00:00:00"/>
        <d v="2022-01-20T00:00:00"/>
        <d v="2022-01-22T00:00:00"/>
        <d v="2022-01-25T00:00:00"/>
        <d v="2022-02-01T00:00:00"/>
        <d v="2022-02-02T00:00:00"/>
        <d v="2022-02-03T00:00:00"/>
        <d v="2022-02-05T00:00:00"/>
        <d v="2022-02-10T00:00:00"/>
        <d v="2022-02-15T00:00:00"/>
        <d v="2022-02-25T00:00:00"/>
        <d v="2022-02-26T00:00:00"/>
        <d v="2022-03-02T00:00:00"/>
        <d v="2022-03-03T00:00:00"/>
        <d v="2022-03-05T00:00:00"/>
        <d v="2022-03-06T00:00:00"/>
        <d v="2022-03-20T00:00:00"/>
        <d v="2022-03-26T00:00:00"/>
        <d v="2022-04-03T00:00:00"/>
        <d v="2022-04-04T00:00:00"/>
        <d v="2022-04-05T00:00:00"/>
        <d v="2022-04-06T00:00:00"/>
        <d v="2022-04-25T00:00:00"/>
        <d v="2022-05-02T00:00:00"/>
        <d v="2022-05-04T00:00:00"/>
        <d v="2022-05-05T00:00:00"/>
        <d v="2022-05-06T00:00:00"/>
        <d v="2022-05-08T00:00:00"/>
        <d v="2022-05-09T00:00:00"/>
        <d v="2022-05-17T00:00:00"/>
        <d v="2022-05-22T00:00:00"/>
      </sharedItems>
    </cacheField>
    <cacheField name="[listeAchats].[Date (mois)].[Date (mois)]" caption="Date (mois)" numFmtId="0" hierarchy="12" level="1">
      <sharedItems count="5">
        <s v="janv"/>
        <s v="févr"/>
        <s v="mars"/>
        <s v="avr"/>
        <s v="mai"/>
      </sharedItems>
    </cacheField>
    <cacheField name="[Measures].[Somme de Quantité]" caption="Somme de Quantité" numFmtId="0" hierarchy="44" level="32767"/>
    <cacheField name="[lesReferences].[Références].[Références]" caption="Références" numFmtId="0" hierarchy="2" level="1">
      <sharedItems containsSemiMixedTypes="0" containsNonDate="0" containsString="0"/>
    </cacheField>
  </cacheFields>
  <cacheHierarchies count="50">
    <cacheHierarchy uniqueName="[lesCategories].[Catégories]" caption="Catégories" attribute="1" defaultMemberUniqueName="[lesCategories].[Catégories].[All]" allUniqueName="[lesCategories].[Catégories].[All]" dimensionUniqueName="[lesCategories]" displayFolder="" count="2" memberValueDatatype="130" unbalanced="0"/>
    <cacheHierarchy uniqueName="[lesMois].[Mois]" caption="Mois" attribute="1" defaultMemberUniqueName="[lesMois].[Mois].[All]" allUniqueName="[lesMois].[Mois].[All]" dimensionUniqueName="[lesMois]" displayFolder="" count="0" memberValueDatatype="130" unbalanced="0"/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2" memberValueDatatype="130" unbalanced="0">
      <fieldsUsage count="2">
        <fieldUsage x="-1"/>
        <fieldUsage x="3"/>
      </fieldsUsage>
    </cacheHierarchy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2" memberValueDatatype="7" unbalanced="0">
      <fieldsUsage count="2">
        <fieldUsage x="-1"/>
        <fieldUsage x="0"/>
      </fieldsUsage>
    </cacheHierarchy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2" memberValueDatatype="130" unbalanced="0">
      <fieldsUsage count="2">
        <fieldUsage x="-1"/>
        <fieldUsage x="1"/>
      </fieldsUsage>
    </cacheHierarchy>
    <cacheHierarchy uniqueName="[listeInventaire].[Référence]" caption="Référence" attribute="1" defaultMemberUniqueName="[listeInventaire].[Référence].[All]" allUniqueName="[listeInventaire].[Référence].[All]" dimensionUniqueName="[listeInventaire]" displayFolder="" count="0" memberValueDatatype="130" unbalanced="0"/>
    <cacheHierarchy uniqueName="[listeInventaire].[Désignation]" caption="Désignation" attribute="1" defaultMemberUniqueName="[listeInventaire].[Désignation].[All]" allUniqueName="[listeInventaire].[Désignation].[All]" dimensionUniqueName="[listeInventaire]" displayFolder="" count="0" memberValueDatatype="130" unbalanced="0"/>
    <cacheHierarchy uniqueName="[listeInventaire].[Catégorie]" caption="Catégorie" attribute="1" defaultMemberUniqueName="[listeInventaire].[Catégorie].[All]" allUniqueName="[listeInventaire].[Catégorie].[All]" dimensionUniqueName="[listeInventaire]" displayFolder="" count="0" memberValueDatatype="130" unbalanced="0"/>
    <cacheHierarchy uniqueName="[listeInventaire].[Unité]" caption="Unité" attribute="1" defaultMemberUniqueName="[listeInventaire].[Unité].[All]" allUniqueName="[listeInventaire].[Unité].[All]" dimensionUniqueName="[listeInventaire]" displayFolder="" count="0" memberValueDatatype="130" unbalanced="0"/>
    <cacheHierarchy uniqueName="[listeInventaire].[Seuil d'alerte]" caption="Seuil d'alerte" attribute="1" defaultMemberUniqueName="[listeInventaire].[Seuil d'alerte].[All]" allUniqueName="[listeInventaire].[Seuil d'alerte].[All]" dimensionUniqueName="[listeInventaire]" displayFolder="" count="0" memberValueDatatype="20" unbalanced="0"/>
    <cacheHierarchy uniqueName="[listeInventaire].[Stock initial]" caption="Stock initial" attribute="1" defaultMemberUniqueName="[listeInventaire].[Stock initial].[All]" allUniqueName="[listeInventaire].[Stock initial].[All]" dimensionUniqueName="[listeInventaire]" displayFolder="" count="0" memberValueDatatype="20" unbalanced="0"/>
    <cacheHierarchy uniqueName="[listeInventaire].[Entrées]" caption="Entrées" attribute="1" defaultMemberUniqueName="[listeInventaire].[Entrées].[All]" allUniqueName="[listeInventaire].[Entrées].[All]" dimensionUniqueName="[listeInventaire]" displayFolder="" count="0" memberValueDatatype="20" unbalanced="0"/>
    <cacheHierarchy uniqueName="[listeInventaire].[Sorties]" caption="Sorties" attribute="1" defaultMemberUniqueName="[listeInventaire].[Sorties].[All]" allUniqueName="[listeInventaire].[Sorties].[All]" dimensionUniqueName="[listeInventaire]" displayFolder="" count="0" memberValueDatatype="20" unbalanced="0"/>
    <cacheHierarchy uniqueName="[listeInventaire].[Stock final]" caption="Stock final" attribute="1" defaultMemberUniqueName="[listeInventaire].[Stock final].[All]" allUniqueName="[listeInventaire].[Stock final].[All]" dimensionUniqueName="[listeInventaire]" displayFolder="" count="0" memberValueDatatype="20" unbalanced="0"/>
    <cacheHierarchy uniqueName="[listeInventaire].[CUMP]" caption="CUMP" attribute="1" defaultMemberUniqueName="[listeInventaire].[CUMP].[All]" allUniqueName="[listeInventaire].[CUMP].[All]" dimensionUniqueName="[listeInventaire]" displayFolder="" count="0" memberValueDatatype="5" unbalanced="0"/>
    <cacheHierarchy uniqueName="[listeInventaire].[Valeur]" caption="Valeur" attribute="1" defaultMemberUniqueName="[listeInventaire].[Valeur].[All]" allUniqueName="[listeInventaire].[Valeur].[All]" dimensionUniqueName="[listeInventaire]" displayFolder="" count="0" memberValueDatatype="5" unbalanced="0"/>
    <cacheHierarchy uniqueName="[listeInventaire].[Statue]" caption="Statue" attribute="1" defaultMemberUniqueName="[listeInventaire].[Statue].[All]" allUniqueName="[listeInventaire].[Statue].[All]" dimensionUniqueName="[listeInventaire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listeInventaire]" caption="__XL_Count listeInventaire" measure="1" displayFolder="" measureGroup="listeInventaire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Stock final]" caption="Somme de Stock final" measure="1" displayFolder="" measureGroup="listeInventaire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Valeur]" caption="Somme de Valeur" measure="1" displayFolder="" measureGroup="listeInventaire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7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Inventaire" uniqueName="[listeInventaire]" caption="listeInventaire"/>
    <dimension name="listeVentes" uniqueName="[listeVentes]" caption="listeVentes"/>
    <dimension measure="1" name="Measures" uniqueName="[Measures]" caption="Measures"/>
  </dimensions>
  <measureGroups count="6">
    <measureGroup name="lesCategories" caption="lesCategories"/>
    <measureGroup name="lesMois" caption="lesMois"/>
    <measureGroup name="lesReferences" caption="lesReferences"/>
    <measureGroup name="listeAchats" caption="listeAchats"/>
    <measureGroup name="listeInventaire" caption="listeInventaire"/>
    <measureGroup name="listeVentes" caption="listeVentes"/>
  </measureGroups>
  <maps count="12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4"/>
    <map measureGroup="5" dimension="0"/>
    <map measureGroup="5" dimension="1"/>
    <map measureGroup="5" dimension="2"/>
    <map measureGroup="5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NSPIRON" refreshedDate="45257.354856597223" backgroundQuery="1" createdVersion="8" refreshedVersion="8" minRefreshableVersion="3" recordCount="0" supportSubquery="1" supportAdvancedDrill="1" xr:uid="{B501648D-2425-4794-8DBB-776FEFB9FABE}">
  <cacheSource type="external" connectionId="1"/>
  <cacheFields count="4">
    <cacheField name="[listeVentes].[Date].[Date]" caption="Date" numFmtId="0" hierarchy="26" level="1">
      <sharedItems containsSemiMixedTypes="0" containsNonDate="0" containsDate="1" containsString="0" minDate="2022-01-01T00:00:00" maxDate="2022-05-23T00:00:00" count="37">
        <d v="2022-01-01T00:00:00"/>
        <d v="2022-01-02T00:00:00"/>
        <d v="2022-01-06T00:00:00"/>
        <d v="2022-01-10T00:00:00"/>
        <d v="2022-01-17T00:00:00"/>
        <d v="2022-01-21T00:00:00"/>
        <d v="2022-01-23T00:00:00"/>
        <d v="2022-01-26T00:00:00"/>
        <d v="2022-02-02T00:00:00"/>
        <d v="2022-02-03T00:00:00"/>
        <d v="2022-02-05T00:00:00"/>
        <d v="2022-02-06T00:00:00"/>
        <d v="2022-02-09T00:00:00"/>
        <d v="2022-02-20T00:00:00"/>
        <d v="2022-02-22T00:00:00"/>
        <d v="2022-03-03T00:00:00"/>
        <d v="2022-03-04T00:00:00"/>
        <d v="2022-03-05T00:00:00"/>
        <d v="2022-03-06T00:00:00"/>
        <d v="2022-03-09T00:00:00"/>
        <d v="2022-03-26T00:00:00"/>
        <d v="2022-04-01T00:00:00"/>
        <d v="2022-04-04T00:00:00"/>
        <d v="2022-04-05T00:00:00"/>
        <d v="2022-04-09T00:00:00"/>
        <d v="2022-04-11T00:00:00"/>
        <d v="2022-04-19T00:00:00"/>
        <d v="2022-04-21T00:00:00"/>
        <d v="2022-04-22T00:00:00"/>
        <d v="2022-05-03T00:00:00"/>
        <d v="2022-05-04T00:00:00"/>
        <d v="2022-05-05T00:00:00"/>
        <d v="2022-05-06T00:00:00"/>
        <d v="2022-05-08T00:00:00"/>
        <d v="2022-05-15T00:00:00"/>
        <d v="2022-05-17T00:00:00"/>
        <d v="2022-05-22T00:00:00"/>
      </sharedItems>
    </cacheField>
    <cacheField name="[listeVentes].[Date (mois)].[Date (mois)]" caption="Date (mois)" numFmtId="0" hierarchy="34" level="1">
      <sharedItems count="5">
        <s v="janv"/>
        <s v="févr"/>
        <s v="mars"/>
        <s v="avr"/>
        <s v="mai"/>
      </sharedItems>
    </cacheField>
    <cacheField name="[Measures].[Somme de Quantité 2]" caption="Somme de Quantité 2" numFmtId="0" hierarchy="47" level="32767"/>
    <cacheField name="[lesReferences].[Références].[Références]" caption="Références" numFmtId="0" hierarchy="2" level="1">
      <sharedItems containsSemiMixedTypes="0" containsNonDate="0" containsString="0"/>
    </cacheField>
  </cacheFields>
  <cacheHierarchies count="50">
    <cacheHierarchy uniqueName="[lesCategories].[Catégories]" caption="Catégories" attribute="1" defaultMemberUniqueName="[lesCategories].[Catégories].[All]" allUniqueName="[lesCategories].[Catégories].[All]" dimensionUniqueName="[lesCategories]" displayFolder="" count="2" memberValueDatatype="130" unbalanced="0"/>
    <cacheHierarchy uniqueName="[lesMois].[Mois]" caption="Mois" attribute="1" defaultMemberUniqueName="[lesMois].[Mois].[All]" allUniqueName="[lesMois].[Mois].[All]" dimensionUniqueName="[lesMois]" displayFolder="" count="0" memberValueDatatype="130" unbalanced="0"/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2" memberValueDatatype="130" unbalanced="0">
      <fieldsUsage count="2">
        <fieldUsage x="-1"/>
        <fieldUsage x="3"/>
      </fieldsUsage>
    </cacheHierarchy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Inventaire].[Référence]" caption="Référence" attribute="1" defaultMemberUniqueName="[listeInventaire].[Référence].[All]" allUniqueName="[listeInventaire].[Référence].[All]" dimensionUniqueName="[listeInventaire]" displayFolder="" count="0" memberValueDatatype="130" unbalanced="0"/>
    <cacheHierarchy uniqueName="[listeInventaire].[Désignation]" caption="Désignation" attribute="1" defaultMemberUniqueName="[listeInventaire].[Désignation].[All]" allUniqueName="[listeInventaire].[Désignation].[All]" dimensionUniqueName="[listeInventaire]" displayFolder="" count="0" memberValueDatatype="130" unbalanced="0"/>
    <cacheHierarchy uniqueName="[listeInventaire].[Catégorie]" caption="Catégorie" attribute="1" defaultMemberUniqueName="[listeInventaire].[Catégorie].[All]" allUniqueName="[listeInventaire].[Catégorie].[All]" dimensionUniqueName="[listeInventaire]" displayFolder="" count="0" memberValueDatatype="130" unbalanced="0"/>
    <cacheHierarchy uniqueName="[listeInventaire].[Unité]" caption="Unité" attribute="1" defaultMemberUniqueName="[listeInventaire].[Unité].[All]" allUniqueName="[listeInventaire].[Unité].[All]" dimensionUniqueName="[listeInventaire]" displayFolder="" count="0" memberValueDatatype="130" unbalanced="0"/>
    <cacheHierarchy uniqueName="[listeInventaire].[Seuil d'alerte]" caption="Seuil d'alerte" attribute="1" defaultMemberUniqueName="[listeInventaire].[Seuil d'alerte].[All]" allUniqueName="[listeInventaire].[Seuil d'alerte].[All]" dimensionUniqueName="[listeInventaire]" displayFolder="" count="0" memberValueDatatype="20" unbalanced="0"/>
    <cacheHierarchy uniqueName="[listeInventaire].[Stock initial]" caption="Stock initial" attribute="1" defaultMemberUniqueName="[listeInventaire].[Stock initial].[All]" allUniqueName="[listeInventaire].[Stock initial].[All]" dimensionUniqueName="[listeInventaire]" displayFolder="" count="0" memberValueDatatype="20" unbalanced="0"/>
    <cacheHierarchy uniqueName="[listeInventaire].[Entrées]" caption="Entrées" attribute="1" defaultMemberUniqueName="[listeInventaire].[Entrées].[All]" allUniqueName="[listeInventaire].[Entrées].[All]" dimensionUniqueName="[listeInventaire]" displayFolder="" count="0" memberValueDatatype="20" unbalanced="0"/>
    <cacheHierarchy uniqueName="[listeInventaire].[Sorties]" caption="Sorties" attribute="1" defaultMemberUniqueName="[listeInventaire].[Sorties].[All]" allUniqueName="[listeInventaire].[Sorties].[All]" dimensionUniqueName="[listeInventaire]" displayFolder="" count="0" memberValueDatatype="20" unbalanced="0"/>
    <cacheHierarchy uniqueName="[listeInventaire].[Stock final]" caption="Stock final" attribute="1" defaultMemberUniqueName="[listeInventaire].[Stock final].[All]" allUniqueName="[listeInventaire].[Stock final].[All]" dimensionUniqueName="[listeInventaire]" displayFolder="" count="0" memberValueDatatype="20" unbalanced="0"/>
    <cacheHierarchy uniqueName="[listeInventaire].[CUMP]" caption="CUMP" attribute="1" defaultMemberUniqueName="[listeInventaire].[CUMP].[All]" allUniqueName="[listeInventaire].[CUMP].[All]" dimensionUniqueName="[listeInventaire]" displayFolder="" count="0" memberValueDatatype="5" unbalanced="0"/>
    <cacheHierarchy uniqueName="[listeInventaire].[Valeur]" caption="Valeur" attribute="1" defaultMemberUniqueName="[listeInventaire].[Valeur].[All]" allUniqueName="[listeInventaire].[Valeur].[All]" dimensionUniqueName="[listeInventaire]" displayFolder="" count="0" memberValueDatatype="5" unbalanced="0"/>
    <cacheHierarchy uniqueName="[listeInventaire].[Statue]" caption="Statue" attribute="1" defaultMemberUniqueName="[listeInventaire].[Statue].[All]" allUniqueName="[listeInventaire].[Statue].[All]" dimensionUniqueName="[listeInventaire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2" memberValueDatatype="7" unbalanced="0">
      <fieldsUsage count="2">
        <fieldUsage x="-1"/>
        <fieldUsage x="0"/>
      </fieldsUsage>
    </cacheHierarchy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2" memberValueDatatype="130" unbalanced="0">
      <fieldsUsage count="2">
        <fieldUsage x="-1"/>
        <fieldUsage x="1"/>
      </fieldsUsage>
    </cacheHierarchy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listeInventaire]" caption="__XL_Count listeInventaire" measure="1" displayFolder="" measureGroup="listeInventaire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Quantité 2]" caption="Somme de Quantité 2" measure="1" displayFolder="" measureGroup="listeVent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Stock final]" caption="Somme de Stock final" measure="1" displayFolder="" measureGroup="listeInventaire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Valeur]" caption="Somme de Valeur" measure="1" displayFolder="" measureGroup="listeInventaire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</cacheHierarchies>
  <kpis count="0"/>
  <dimensions count="7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Inventaire" uniqueName="[listeInventaire]" caption="listeInventaire"/>
    <dimension name="listeVentes" uniqueName="[listeVentes]" caption="listeVentes"/>
    <dimension measure="1" name="Measures" uniqueName="[Measures]" caption="Measures"/>
  </dimensions>
  <measureGroups count="6">
    <measureGroup name="lesCategories" caption="lesCategories"/>
    <measureGroup name="lesMois" caption="lesMois"/>
    <measureGroup name="lesReferences" caption="lesReferences"/>
    <measureGroup name="listeAchats" caption="listeAchats"/>
    <measureGroup name="listeInventaire" caption="listeInventaire"/>
    <measureGroup name="listeVentes" caption="listeVentes"/>
  </measureGroups>
  <maps count="12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4"/>
    <map measureGroup="5" dimension="0"/>
    <map measureGroup="5" dimension="1"/>
    <map measureGroup="5" dimension="2"/>
    <map measureGroup="5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NSPIRON" refreshedDate="45257.354857175924" backgroundQuery="1" createdVersion="8" refreshedVersion="8" minRefreshableVersion="3" recordCount="0" supportSubquery="1" supportAdvancedDrill="1" xr:uid="{1C809B78-B58D-4782-89B1-D1D38C442627}">
  <cacheSource type="external" connectionId="1"/>
  <cacheFields count="5">
    <cacheField name="[listeAchats].[Date].[Date]" caption="Date" numFmtId="0" hierarchy="4" level="1">
      <sharedItems containsSemiMixedTypes="0" containsNonDate="0" containsDate="1" containsString="0" minDate="2022-01-01T00:00:00" maxDate="2022-05-23T00:00:00" count="34">
        <d v="2022-01-01T00:00:00"/>
        <d v="2022-01-02T00:00:00"/>
        <d v="2022-01-05T00:00:00"/>
        <d v="2022-01-16T00:00:00"/>
        <d v="2022-01-20T00:00:00"/>
        <d v="2022-01-22T00:00:00"/>
        <d v="2022-01-25T00:00:00"/>
        <d v="2022-02-01T00:00:00"/>
        <d v="2022-02-02T00:00:00"/>
        <d v="2022-02-03T00:00:00"/>
        <d v="2022-02-05T00:00:00"/>
        <d v="2022-02-10T00:00:00"/>
        <d v="2022-02-15T00:00:00"/>
        <d v="2022-02-25T00:00:00"/>
        <d v="2022-02-26T00:00:00"/>
        <d v="2022-03-02T00:00:00"/>
        <d v="2022-03-03T00:00:00"/>
        <d v="2022-03-05T00:00:00"/>
        <d v="2022-03-06T00:00:00"/>
        <d v="2022-03-20T00:00:00"/>
        <d v="2022-03-26T00:00:00"/>
        <d v="2022-04-03T00:00:00"/>
        <d v="2022-04-04T00:00:00"/>
        <d v="2022-04-05T00:00:00"/>
        <d v="2022-04-06T00:00:00"/>
        <d v="2022-04-25T00:00:00"/>
        <d v="2022-05-02T00:00:00"/>
        <d v="2022-05-04T00:00:00"/>
        <d v="2022-05-05T00:00:00"/>
        <d v="2022-05-06T00:00:00"/>
        <d v="2022-05-08T00:00:00"/>
        <d v="2022-05-09T00:00:00"/>
        <d v="2022-05-17T00:00:00"/>
        <d v="2022-05-22T00:00:00"/>
      </sharedItems>
    </cacheField>
    <cacheField name="[listeAchats].[Date (mois)].[Date (mois)]" caption="Date (mois)" numFmtId="0" hierarchy="12" level="1">
      <sharedItems count="5">
        <s v="janv"/>
        <s v="févr"/>
        <s v="mars"/>
        <s v="avr"/>
        <s v="mai"/>
      </sharedItems>
    </cacheField>
    <cacheField name="[Measures].[Somme de Total]" caption="Somme de Total" numFmtId="0" hierarchy="45" level="32767"/>
    <cacheField name="[lesReferences].[Références].[Références]" caption="Références" numFmtId="0" hierarchy="2" level="1">
      <sharedItems containsSemiMixedTypes="0" containsNonDate="0" containsString="0"/>
    </cacheField>
    <cacheField name="Dummy0" numFmtId="0" hierarchy="50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51">
    <cacheHierarchy uniqueName="[lesCategories].[Catégories]" caption="Catégories" attribute="1" defaultMemberUniqueName="[lesCategories].[Catégories].[All]" allUniqueName="[lesCategories].[Catégories].[All]" dimensionUniqueName="[lesCategories]" displayFolder="" count="2" memberValueDatatype="130" unbalanced="0"/>
    <cacheHierarchy uniqueName="[lesMois].[Mois]" caption="Mois" attribute="1" defaultMemberUniqueName="[lesMois].[Mois].[All]" allUniqueName="[lesMois].[Mois].[All]" dimensionUniqueName="[lesMois]" displayFolder="" count="0" memberValueDatatype="130" unbalanced="0"/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2" memberValueDatatype="130" unbalanced="0">
      <fieldsUsage count="2">
        <fieldUsage x="-1"/>
        <fieldUsage x="3"/>
      </fieldsUsage>
    </cacheHierarchy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2" memberValueDatatype="7" unbalanced="0">
      <fieldsUsage count="2">
        <fieldUsage x="-1"/>
        <fieldUsage x="0"/>
      </fieldsUsage>
    </cacheHierarchy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2" memberValueDatatype="130" unbalanced="0">
      <fieldsUsage count="2">
        <fieldUsage x="-1"/>
        <fieldUsage x="1"/>
      </fieldsUsage>
    </cacheHierarchy>
    <cacheHierarchy uniqueName="[listeInventaire].[Référence]" caption="Référence" attribute="1" defaultMemberUniqueName="[listeInventaire].[Référence].[All]" allUniqueName="[listeInventaire].[Référence].[All]" dimensionUniqueName="[listeInventaire]" displayFolder="" count="0" memberValueDatatype="130" unbalanced="0"/>
    <cacheHierarchy uniqueName="[listeInventaire].[Désignation]" caption="Désignation" attribute="1" defaultMemberUniqueName="[listeInventaire].[Désignation].[All]" allUniqueName="[listeInventaire].[Désignation].[All]" dimensionUniqueName="[listeInventaire]" displayFolder="" count="0" memberValueDatatype="130" unbalanced="0"/>
    <cacheHierarchy uniqueName="[listeInventaire].[Catégorie]" caption="Catégorie" attribute="1" defaultMemberUniqueName="[listeInventaire].[Catégorie].[All]" allUniqueName="[listeInventaire].[Catégorie].[All]" dimensionUniqueName="[listeInventaire]" displayFolder="" count="0" memberValueDatatype="130" unbalanced="0"/>
    <cacheHierarchy uniqueName="[listeInventaire].[Unité]" caption="Unité" attribute="1" defaultMemberUniqueName="[listeInventaire].[Unité].[All]" allUniqueName="[listeInventaire].[Unité].[All]" dimensionUniqueName="[listeInventaire]" displayFolder="" count="0" memberValueDatatype="130" unbalanced="0"/>
    <cacheHierarchy uniqueName="[listeInventaire].[Seuil d'alerte]" caption="Seuil d'alerte" attribute="1" defaultMemberUniqueName="[listeInventaire].[Seuil d'alerte].[All]" allUniqueName="[listeInventaire].[Seuil d'alerte].[All]" dimensionUniqueName="[listeInventaire]" displayFolder="" count="0" memberValueDatatype="20" unbalanced="0"/>
    <cacheHierarchy uniqueName="[listeInventaire].[Stock initial]" caption="Stock initial" attribute="1" defaultMemberUniqueName="[listeInventaire].[Stock initial].[All]" allUniqueName="[listeInventaire].[Stock initial].[All]" dimensionUniqueName="[listeInventaire]" displayFolder="" count="0" memberValueDatatype="20" unbalanced="0"/>
    <cacheHierarchy uniqueName="[listeInventaire].[Entrées]" caption="Entrées" attribute="1" defaultMemberUniqueName="[listeInventaire].[Entrées].[All]" allUniqueName="[listeInventaire].[Entrées].[All]" dimensionUniqueName="[listeInventaire]" displayFolder="" count="0" memberValueDatatype="20" unbalanced="0"/>
    <cacheHierarchy uniqueName="[listeInventaire].[Sorties]" caption="Sorties" attribute="1" defaultMemberUniqueName="[listeInventaire].[Sorties].[All]" allUniqueName="[listeInventaire].[Sorties].[All]" dimensionUniqueName="[listeInventaire]" displayFolder="" count="0" memberValueDatatype="20" unbalanced="0"/>
    <cacheHierarchy uniqueName="[listeInventaire].[Stock final]" caption="Stock final" attribute="1" defaultMemberUniqueName="[listeInventaire].[Stock final].[All]" allUniqueName="[listeInventaire].[Stock final].[All]" dimensionUniqueName="[listeInventaire]" displayFolder="" count="0" memberValueDatatype="20" unbalanced="0"/>
    <cacheHierarchy uniqueName="[listeInventaire].[CUMP]" caption="CUMP" attribute="1" defaultMemberUniqueName="[listeInventaire].[CUMP].[All]" allUniqueName="[listeInventaire].[CUMP].[All]" dimensionUniqueName="[listeInventaire]" displayFolder="" count="0" memberValueDatatype="5" unbalanced="0"/>
    <cacheHierarchy uniqueName="[listeInventaire].[Valeur]" caption="Valeur" attribute="1" defaultMemberUniqueName="[listeInventaire].[Valeur].[All]" allUniqueName="[listeInventaire].[Valeur].[All]" dimensionUniqueName="[listeInventaire]" displayFolder="" count="0" memberValueDatatype="5" unbalanced="0"/>
    <cacheHierarchy uniqueName="[listeInventaire].[Statue]" caption="Statue" attribute="1" defaultMemberUniqueName="[listeInventaire].[Statue].[All]" allUniqueName="[listeInventaire].[Statue].[All]" dimensionUniqueName="[listeInventaire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listeInventaire]" caption="__XL_Count listeInventaire" measure="1" displayFolder="" measureGroup="listeInventaire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Total]" caption="Somme de Total" measure="1" displayFolder="" measureGroup="listeAchat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Stock final]" caption="Somme de Stock final" measure="1" displayFolder="" measureGroup="listeInventaire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Valeur]" caption="Somme de Valeur" measure="1" displayFolder="" measureGroup="listeInventaire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Dummy0" caption="Catégorie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7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Inventaire" uniqueName="[listeInventaire]" caption="listeInventaire"/>
    <dimension name="listeVentes" uniqueName="[listeVentes]" caption="listeVentes"/>
    <dimension measure="1" name="Measures" uniqueName="[Measures]" caption="Measures"/>
  </dimensions>
  <measureGroups count="6">
    <measureGroup name="lesCategories" caption="lesCategories"/>
    <measureGroup name="lesMois" caption="lesMois"/>
    <measureGroup name="lesReferences" caption="lesReferences"/>
    <measureGroup name="listeAchats" caption="listeAchats"/>
    <measureGroup name="listeInventaire" caption="listeInventaire"/>
    <measureGroup name="listeVentes" caption="listeVentes"/>
  </measureGroups>
  <maps count="12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4"/>
    <map measureGroup="5" dimension="0"/>
    <map measureGroup="5" dimension="1"/>
    <map measureGroup="5" dimension="2"/>
    <map measureGroup="5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NSPIRON" refreshedDate="45257.354858101855" backgroundQuery="1" createdVersion="8" refreshedVersion="8" minRefreshableVersion="3" recordCount="0" supportSubquery="1" supportAdvancedDrill="1" xr:uid="{E3C5F643-5C35-43CE-BD9D-8043A8DD6300}">
  <cacheSource type="external" connectionId="1"/>
  <cacheFields count="5">
    <cacheField name="[listeVentes].[Date].[Date]" caption="Date" numFmtId="0" hierarchy="26" level="1">
      <sharedItems containsSemiMixedTypes="0" containsNonDate="0" containsDate="1" containsString="0" minDate="2022-01-01T00:00:00" maxDate="2022-05-23T00:00:00" count="37">
        <d v="2022-01-01T00:00:00"/>
        <d v="2022-01-02T00:00:00"/>
        <d v="2022-01-06T00:00:00"/>
        <d v="2022-01-10T00:00:00"/>
        <d v="2022-01-17T00:00:00"/>
        <d v="2022-01-21T00:00:00"/>
        <d v="2022-01-23T00:00:00"/>
        <d v="2022-01-26T00:00:00"/>
        <d v="2022-02-02T00:00:00"/>
        <d v="2022-02-03T00:00:00"/>
        <d v="2022-02-05T00:00:00"/>
        <d v="2022-02-06T00:00:00"/>
        <d v="2022-02-09T00:00:00"/>
        <d v="2022-02-20T00:00:00"/>
        <d v="2022-02-22T00:00:00"/>
        <d v="2022-03-03T00:00:00"/>
        <d v="2022-03-04T00:00:00"/>
        <d v="2022-03-05T00:00:00"/>
        <d v="2022-03-06T00:00:00"/>
        <d v="2022-03-09T00:00:00"/>
        <d v="2022-03-26T00:00:00"/>
        <d v="2022-04-01T00:00:00"/>
        <d v="2022-04-04T00:00:00"/>
        <d v="2022-04-05T00:00:00"/>
        <d v="2022-04-09T00:00:00"/>
        <d v="2022-04-11T00:00:00"/>
        <d v="2022-04-19T00:00:00"/>
        <d v="2022-04-21T00:00:00"/>
        <d v="2022-04-22T00:00:00"/>
        <d v="2022-05-03T00:00:00"/>
        <d v="2022-05-04T00:00:00"/>
        <d v="2022-05-05T00:00:00"/>
        <d v="2022-05-06T00:00:00"/>
        <d v="2022-05-08T00:00:00"/>
        <d v="2022-05-15T00:00:00"/>
        <d v="2022-05-17T00:00:00"/>
        <d v="2022-05-22T00:00:00"/>
      </sharedItems>
    </cacheField>
    <cacheField name="[listeVentes].[Date (mois)].[Date (mois)]" caption="Date (mois)" numFmtId="0" hierarchy="34" level="1">
      <sharedItems count="5">
        <s v="janv"/>
        <s v="févr"/>
        <s v="mars"/>
        <s v="avr"/>
        <s v="mai"/>
      </sharedItems>
    </cacheField>
    <cacheField name="[Measures].[Somme de Total 2]" caption="Somme de Total 2" numFmtId="0" hierarchy="46" level="32767"/>
    <cacheField name="[lesReferences].[Références].[Références]" caption="Références" numFmtId="0" hierarchy="2" level="1">
      <sharedItems containsSemiMixedTypes="0" containsNonDate="0" containsString="0"/>
    </cacheField>
    <cacheField name="Dummy0" numFmtId="0" hierarchy="50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51">
    <cacheHierarchy uniqueName="[lesCategories].[Catégories]" caption="Catégories" attribute="1" defaultMemberUniqueName="[lesCategories].[Catégories].[All]" allUniqueName="[lesCategories].[Catégories].[All]" dimensionUniqueName="[lesCategories]" displayFolder="" count="2" memberValueDatatype="130" unbalanced="0"/>
    <cacheHierarchy uniqueName="[lesMois].[Mois]" caption="Mois" attribute="1" defaultMemberUniqueName="[lesMois].[Mois].[All]" allUniqueName="[lesMois].[Mois].[All]" dimensionUniqueName="[lesMois]" displayFolder="" count="0" memberValueDatatype="130" unbalanced="0"/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2" memberValueDatatype="130" unbalanced="0">
      <fieldsUsage count="2">
        <fieldUsage x="-1"/>
        <fieldUsage x="3"/>
      </fieldsUsage>
    </cacheHierarchy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Inventaire].[Référence]" caption="Référence" attribute="1" defaultMemberUniqueName="[listeInventaire].[Référence].[All]" allUniqueName="[listeInventaire].[Référence].[All]" dimensionUniqueName="[listeInventaire]" displayFolder="" count="0" memberValueDatatype="130" unbalanced="0"/>
    <cacheHierarchy uniqueName="[listeInventaire].[Désignation]" caption="Désignation" attribute="1" defaultMemberUniqueName="[listeInventaire].[Désignation].[All]" allUniqueName="[listeInventaire].[Désignation].[All]" dimensionUniqueName="[listeInventaire]" displayFolder="" count="0" memberValueDatatype="130" unbalanced="0"/>
    <cacheHierarchy uniqueName="[listeInventaire].[Catégorie]" caption="Catégorie" attribute="1" defaultMemberUniqueName="[listeInventaire].[Catégorie].[All]" allUniqueName="[listeInventaire].[Catégorie].[All]" dimensionUniqueName="[listeInventaire]" displayFolder="" count="0" memberValueDatatype="130" unbalanced="0"/>
    <cacheHierarchy uniqueName="[listeInventaire].[Unité]" caption="Unité" attribute="1" defaultMemberUniqueName="[listeInventaire].[Unité].[All]" allUniqueName="[listeInventaire].[Unité].[All]" dimensionUniqueName="[listeInventaire]" displayFolder="" count="0" memberValueDatatype="130" unbalanced="0"/>
    <cacheHierarchy uniqueName="[listeInventaire].[Seuil d'alerte]" caption="Seuil d'alerte" attribute="1" defaultMemberUniqueName="[listeInventaire].[Seuil d'alerte].[All]" allUniqueName="[listeInventaire].[Seuil d'alerte].[All]" dimensionUniqueName="[listeInventaire]" displayFolder="" count="0" memberValueDatatype="20" unbalanced="0"/>
    <cacheHierarchy uniqueName="[listeInventaire].[Stock initial]" caption="Stock initial" attribute="1" defaultMemberUniqueName="[listeInventaire].[Stock initial].[All]" allUniqueName="[listeInventaire].[Stock initial].[All]" dimensionUniqueName="[listeInventaire]" displayFolder="" count="0" memberValueDatatype="20" unbalanced="0"/>
    <cacheHierarchy uniqueName="[listeInventaire].[Entrées]" caption="Entrées" attribute="1" defaultMemberUniqueName="[listeInventaire].[Entrées].[All]" allUniqueName="[listeInventaire].[Entrées].[All]" dimensionUniqueName="[listeInventaire]" displayFolder="" count="0" memberValueDatatype="20" unbalanced="0"/>
    <cacheHierarchy uniqueName="[listeInventaire].[Sorties]" caption="Sorties" attribute="1" defaultMemberUniqueName="[listeInventaire].[Sorties].[All]" allUniqueName="[listeInventaire].[Sorties].[All]" dimensionUniqueName="[listeInventaire]" displayFolder="" count="0" memberValueDatatype="20" unbalanced="0"/>
    <cacheHierarchy uniqueName="[listeInventaire].[Stock final]" caption="Stock final" attribute="1" defaultMemberUniqueName="[listeInventaire].[Stock final].[All]" allUniqueName="[listeInventaire].[Stock final].[All]" dimensionUniqueName="[listeInventaire]" displayFolder="" count="0" memberValueDatatype="20" unbalanced="0"/>
    <cacheHierarchy uniqueName="[listeInventaire].[CUMP]" caption="CUMP" attribute="1" defaultMemberUniqueName="[listeInventaire].[CUMP].[All]" allUniqueName="[listeInventaire].[CUMP].[All]" dimensionUniqueName="[listeInventaire]" displayFolder="" count="0" memberValueDatatype="5" unbalanced="0"/>
    <cacheHierarchy uniqueName="[listeInventaire].[Valeur]" caption="Valeur" attribute="1" defaultMemberUniqueName="[listeInventaire].[Valeur].[All]" allUniqueName="[listeInventaire].[Valeur].[All]" dimensionUniqueName="[listeInventaire]" displayFolder="" count="0" memberValueDatatype="5" unbalanced="0"/>
    <cacheHierarchy uniqueName="[listeInventaire].[Statue]" caption="Statue" attribute="1" defaultMemberUniqueName="[listeInventaire].[Statue].[All]" allUniqueName="[listeInventaire].[Statue].[All]" dimensionUniqueName="[listeInventaire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2" memberValueDatatype="7" unbalanced="0">
      <fieldsUsage count="2">
        <fieldUsage x="-1"/>
        <fieldUsage x="0"/>
      </fieldsUsage>
    </cacheHierarchy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2" memberValueDatatype="130" unbalanced="0">
      <fieldsUsage count="2">
        <fieldUsage x="-1"/>
        <fieldUsage x="1"/>
      </fieldsUsage>
    </cacheHierarchy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listeInventaire]" caption="__XL_Count listeInventaire" measure="1" displayFolder="" measureGroup="listeInventaire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Stock final]" caption="Somme de Stock final" measure="1" displayFolder="" measureGroup="listeInventaire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me de Valeur]" caption="Somme de Valeur" measure="1" displayFolder="" measureGroup="listeInventaire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Dummy0" caption="Catégorie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7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Inventaire" uniqueName="[listeInventaire]" caption="listeInventaire"/>
    <dimension name="listeVentes" uniqueName="[listeVentes]" caption="listeVentes"/>
    <dimension measure="1" name="Measures" uniqueName="[Measures]" caption="Measures"/>
  </dimensions>
  <measureGroups count="6">
    <measureGroup name="lesCategories" caption="lesCategories"/>
    <measureGroup name="lesMois" caption="lesMois"/>
    <measureGroup name="lesReferences" caption="lesReferences"/>
    <measureGroup name="listeAchats" caption="listeAchats"/>
    <measureGroup name="listeInventaire" caption="listeInventaire"/>
    <measureGroup name="listeVentes" caption="listeVentes"/>
  </measureGroups>
  <maps count="12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4"/>
    <map measureGroup="5" dimension="0"/>
    <map measureGroup="5" dimension="1"/>
    <map measureGroup="5" dimension="2"/>
    <map measureGroup="5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NSPIRON" refreshedDate="45248.996881944448" backgroundQuery="1" createdVersion="3" refreshedVersion="8" minRefreshableVersion="3" recordCount="0" supportSubquery="1" supportAdvancedDrill="1" xr:uid="{844C6A2F-3A58-43D2-BAB4-FC87647ED007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48">
    <cacheHierarchy uniqueName="[lesCategories].[Catégories]" caption="Catégories" attribute="1" defaultMemberUniqueName="[lesCategories].[Catégories].[All]" allUniqueName="[lesCategories].[Catégories].[All]" dimensionUniqueName="[lesCategories]" displayFolder="" count="0" memberValueDatatype="130" unbalanced="0"/>
    <cacheHierarchy uniqueName="[lesMois].[Mois]" caption="Mois" attribute="1" defaultMemberUniqueName="[lesMois].[Mois].[All]" allUniqueName="[lesMois].[Mois].[All]" dimensionUniqueName="[lesMois]" displayFolder="" count="2" memberValueDatatype="130" unbalanced="0"/>
    <cacheHierarchy uniqueName="[lesReferences].[Références]" caption="Références" attribute="1" defaultMemberUniqueName="[lesReferences].[Références].[All]" allUniqueName="[lesReferences].[Références].[All]" dimensionUniqueName="[lesReferences]" displayFolder="" count="2" memberValueDatatype="130" unbalanced="0"/>
    <cacheHierarchy uniqueName="[listeAchats].[Numéro]" caption="Numéro" attribute="1" defaultMemberUniqueName="[listeAchats].[Numéro].[All]" allUniqueName="[listeAchats].[Numéro].[All]" dimensionUniqueName="[listeAchats]" displayFolder="" count="0" memberValueDatatype="20" unbalanced="0"/>
    <cacheHierarchy uniqueName="[listeAchats].[Date]" caption="Date" attribute="1" time="1" defaultMemberUniqueName="[listeAchats].[Date].[All]" allUniqueName="[listeAchats].[Date].[All]" dimensionUniqueName="[listeAchats]" displayFolder="" count="0" memberValueDatatype="7" unbalanced="0"/>
    <cacheHierarchy uniqueName="[listeAchats].[Référence]" caption="Référence" attribute="1" defaultMemberUniqueName="[listeAchats].[Référence].[All]" allUniqueName="[listeAchats].[Référence].[All]" dimensionUniqueName="[listeAchats]" displayFolder="" count="0" memberValueDatatype="130" unbalanced="0"/>
    <cacheHierarchy uniqueName="[listeAchats].[Désignation]" caption="Désignation" attribute="1" defaultMemberUniqueName="[listeAchats].[Désignation].[All]" allUniqueName="[listeAchats].[Désignation].[All]" dimensionUniqueName="[listeAchats]" displayFolder="" count="0" memberValueDatatype="130" unbalanced="0"/>
    <cacheHierarchy uniqueName="[listeAchats].[Catégorie]" caption="Catégorie" attribute="1" defaultMemberUniqueName="[listeAchats].[Catégorie].[All]" allUniqueName="[listeAchats].[Catégorie].[All]" dimensionUniqueName="[listeAchats]" displayFolder="" count="0" memberValueDatatype="130" unbalanced="0"/>
    <cacheHierarchy uniqueName="[listeAchats].[Unité]" caption="Unité" attribute="1" defaultMemberUniqueName="[listeAchats].[Unité].[All]" allUniqueName="[listeAchats].[Unité].[All]" dimensionUniqueName="[listeAchats]" displayFolder="" count="0" memberValueDatatype="130" unbalanced="0"/>
    <cacheHierarchy uniqueName="[listeAchats].[Coût d'achat]" caption="Coût d'achat" attribute="1" defaultMemberUniqueName="[listeAchats].[Coût d'achat].[All]" allUniqueName="[listeAchats].[Coût d'achat].[All]" dimensionUniqueName="[listeAchats]" displayFolder="" count="0" memberValueDatatype="5" unbalanced="0"/>
    <cacheHierarchy uniqueName="[listeAchats].[Quantité]" caption="Quantité" attribute="1" defaultMemberUniqueName="[listeAchats].[Quantité].[All]" allUniqueName="[listeAchats].[Quantité].[All]" dimensionUniqueName="[listeAchats]" displayFolder="" count="0" memberValueDatatype="20" unbalanced="0"/>
    <cacheHierarchy uniqueName="[listeAchats].[Total]" caption="Total" attribute="1" defaultMemberUniqueName="[listeAchats].[Total].[All]" allUniqueName="[listeAchats].[Total].[All]" dimensionUniqueName="[listeAchats]" displayFolder="" count="0" memberValueDatatype="5" unbalanced="0"/>
    <cacheHierarchy uniqueName="[listeAchats].[Date (mois)]" caption="Date (mois)" attribute="1" defaultMemberUniqueName="[listeAchats].[Date (mois)].[All]" allUniqueName="[listeAchats].[Date (mois)].[All]" dimensionUniqueName="[listeAchats]" displayFolder="" count="0" memberValueDatatype="130" unbalanced="0"/>
    <cacheHierarchy uniqueName="[listeInventaire].[Référence]" caption="Référence" attribute="1" defaultMemberUniqueName="[listeInventaire].[Référence].[All]" allUniqueName="[listeInventaire].[Référence].[All]" dimensionUniqueName="[listeInventaire]" displayFolder="" count="0" memberValueDatatype="130" unbalanced="0"/>
    <cacheHierarchy uniqueName="[listeInventaire].[Désignation]" caption="Désignation" attribute="1" defaultMemberUniqueName="[listeInventaire].[Désignation].[All]" allUniqueName="[listeInventaire].[Désignation].[All]" dimensionUniqueName="[listeInventaire]" displayFolder="" count="0" memberValueDatatype="130" unbalanced="0"/>
    <cacheHierarchy uniqueName="[listeInventaire].[Catégorie]" caption="Catégorie" attribute="1" defaultMemberUniqueName="[listeInventaire].[Catégorie].[All]" allUniqueName="[listeInventaire].[Catégorie].[All]" dimensionUniqueName="[listeInventaire]" displayFolder="" count="0" memberValueDatatype="130" unbalanced="0"/>
    <cacheHierarchy uniqueName="[listeInventaire].[Unité]" caption="Unité" attribute="1" defaultMemberUniqueName="[listeInventaire].[Unité].[All]" allUniqueName="[listeInventaire].[Unité].[All]" dimensionUniqueName="[listeInventaire]" displayFolder="" count="0" memberValueDatatype="130" unbalanced="0"/>
    <cacheHierarchy uniqueName="[listeInventaire].[Seuil d'alerte]" caption="Seuil d'alerte" attribute="1" defaultMemberUniqueName="[listeInventaire].[Seuil d'alerte].[All]" allUniqueName="[listeInventaire].[Seuil d'alerte].[All]" dimensionUniqueName="[listeInventaire]" displayFolder="" count="0" memberValueDatatype="20" unbalanced="0"/>
    <cacheHierarchy uniqueName="[listeInventaire].[Stock initial]" caption="Stock initial" attribute="1" defaultMemberUniqueName="[listeInventaire].[Stock initial].[All]" allUniqueName="[listeInventaire].[Stock initial].[All]" dimensionUniqueName="[listeInventaire]" displayFolder="" count="0" memberValueDatatype="20" unbalanced="0"/>
    <cacheHierarchy uniqueName="[listeInventaire].[Entrées]" caption="Entrées" attribute="1" defaultMemberUniqueName="[listeInventaire].[Entrées].[All]" allUniqueName="[listeInventaire].[Entrées].[All]" dimensionUniqueName="[listeInventaire]" displayFolder="" count="0" memberValueDatatype="20" unbalanced="0"/>
    <cacheHierarchy uniqueName="[listeInventaire].[Sorties]" caption="Sorties" attribute="1" defaultMemberUniqueName="[listeInventaire].[Sorties].[All]" allUniqueName="[listeInventaire].[Sorties].[All]" dimensionUniqueName="[listeInventaire]" displayFolder="" count="0" memberValueDatatype="20" unbalanced="0"/>
    <cacheHierarchy uniqueName="[listeInventaire].[Stock final]" caption="Stock final" attribute="1" defaultMemberUniqueName="[listeInventaire].[Stock final].[All]" allUniqueName="[listeInventaire].[Stock final].[All]" dimensionUniqueName="[listeInventaire]" displayFolder="" count="0" memberValueDatatype="20" unbalanced="0"/>
    <cacheHierarchy uniqueName="[listeInventaire].[CUMP]" caption="CUMP" attribute="1" defaultMemberUniqueName="[listeInventaire].[CUMP].[All]" allUniqueName="[listeInventaire].[CUMP].[All]" dimensionUniqueName="[listeInventaire]" displayFolder="" count="0" memberValueDatatype="5" unbalanced="0"/>
    <cacheHierarchy uniqueName="[listeInventaire].[Valeur]" caption="Valeur" attribute="1" defaultMemberUniqueName="[listeInventaire].[Valeur].[All]" allUniqueName="[listeInventaire].[Valeur].[All]" dimensionUniqueName="[listeInventaire]" displayFolder="" count="0" memberValueDatatype="5" unbalanced="0"/>
    <cacheHierarchy uniqueName="[listeInventaire].[Statue]" caption="Statue" attribute="1" defaultMemberUniqueName="[listeInventaire].[Statue].[All]" allUniqueName="[listeInventaire].[Statue].[All]" dimensionUniqueName="[listeInventaire]" displayFolder="" count="0" memberValueDatatype="130" unbalanced="0"/>
    <cacheHierarchy uniqueName="[listeVentes].[Numéro]" caption="Numéro" attribute="1" defaultMemberUniqueName="[listeVentes].[Numéro].[All]" allUniqueName="[listeVentes].[Numéro].[All]" dimensionUniqueName="[listeVentes]" displayFolder="" count="0" memberValueDatatype="20" unbalanced="0"/>
    <cacheHierarchy uniqueName="[listeVentes].[Date]" caption="Date" attribute="1" time="1" defaultMemberUniqueName="[listeVentes].[Date].[All]" allUniqueName="[listeVentes].[Date].[All]" dimensionUniqueName="[listeVentes]" displayFolder="" count="0" memberValueDatatype="7" unbalanced="0"/>
    <cacheHierarchy uniqueName="[listeVentes].[Référence]" caption="Référence" attribute="1" defaultMemberUniqueName="[listeVentes].[Référence].[All]" allUniqueName="[listeVentes].[Référence].[All]" dimensionUniqueName="[listeVentes]" displayFolder="" count="0" memberValueDatatype="130" unbalanced="0"/>
    <cacheHierarchy uniqueName="[listeVentes].[Désignation]" caption="Désignation" attribute="1" defaultMemberUniqueName="[listeVentes].[Désignation].[All]" allUniqueName="[listeVentes].[Désignation].[All]" dimensionUniqueName="[listeVentes]" displayFolder="" count="0" memberValueDatatype="130" unbalanced="0"/>
    <cacheHierarchy uniqueName="[listeVentes].[Catégorie]" caption="Catégorie" attribute="1" defaultMemberUniqueName="[listeVentes].[Catégorie].[All]" allUniqueName="[listeVentes].[Catégorie].[All]" dimensionUniqueName="[listeVentes]" displayFolder="" count="0" memberValueDatatype="130" unbalanced="0"/>
    <cacheHierarchy uniqueName="[listeVentes].[Unité]" caption="Unité" attribute="1" defaultMemberUniqueName="[listeVentes].[Unité].[All]" allUniqueName="[listeVentes].[Unité].[All]" dimensionUniqueName="[listeVentes]" displayFolder="" count="0" memberValueDatatype="130" unbalanced="0"/>
    <cacheHierarchy uniqueName="[listeVentes].[Prix de vente]" caption="Prix de vente" attribute="1" defaultMemberUniqueName="[listeVentes].[Prix de vente].[All]" allUniqueName="[listeVentes].[Prix de vente].[All]" dimensionUniqueName="[listeVentes]" displayFolder="" count="0" memberValueDatatype="5" unbalanced="0"/>
    <cacheHierarchy uniqueName="[listeVentes].[Quantité]" caption="Quantité" attribute="1" defaultMemberUniqueName="[listeVentes].[Quantité].[All]" allUniqueName="[listeVentes].[Quantité].[All]" dimensionUniqueName="[listeVentes]" displayFolder="" count="0" memberValueDatatype="20" unbalanced="0"/>
    <cacheHierarchy uniqueName="[listeVentes].[Total]" caption="Total" attribute="1" defaultMemberUniqueName="[listeVentes].[Total].[All]" allUniqueName="[listeVentes].[Total].[All]" dimensionUniqueName="[listeVentes]" displayFolder="" count="0" memberValueDatatype="5" unbalanced="0"/>
    <cacheHierarchy uniqueName="[listeVentes].[Date (mois)]" caption="Date (mois)" attribute="1" defaultMemberUniqueName="[listeVentes].[Date (mois)].[All]" allUniqueName="[listeVentes].[Date (mois)].[All]" dimensionUniqueName="[listeVentes]" displayFolder="" count="0" memberValueDatatype="130" unbalanced="0"/>
    <cacheHierarchy uniqueName="[listeAchats].[Date (index des mois)]" caption="Date (index des mois)" attribute="1" defaultMemberUniqueName="[listeAchats].[Date (index des mois)].[All]" allUniqueName="[listeAchats].[Date (index des mois)].[All]" dimensionUniqueName="[listeAchats]" displayFolder="" count="0" memberValueDatatype="20" unbalanced="0" hidden="1"/>
    <cacheHierarchy uniqueName="[listeVentes].[Date (index des mois)]" caption="Date (index des mois)" attribute="1" defaultMemberUniqueName="[listeVentes].[Date (index des mois)].[All]" allUniqueName="[listeVentes].[Date (index des mois)].[All]" dimensionUniqueName="[listeVentes]" displayFolder="" count="0" memberValueDatatype="20" unbalanced="0" hidden="1"/>
    <cacheHierarchy uniqueName="[Measures].[__XL_Count listeAchats]" caption="__XL_Count listeAchats" measure="1" displayFolder="" measureGroup="listeAchats" count="0" hidden="1"/>
    <cacheHierarchy uniqueName="[Measures].[__XL_Count lesCategories]" caption="__XL_Count lesCategories" measure="1" displayFolder="" measureGroup="lesCategories" count="0" hidden="1"/>
    <cacheHierarchy uniqueName="[Measures].[__XL_Count listeVentes]" caption="__XL_Count listeVentes" measure="1" displayFolder="" measureGroup="listeVentes" count="0" hidden="1"/>
    <cacheHierarchy uniqueName="[Measures].[__XL_Count lesReferences]" caption="__XL_Count lesReferences" measure="1" displayFolder="" measureGroup="lesReferences" count="0" hidden="1"/>
    <cacheHierarchy uniqueName="[Measures].[__XL_Count lesMois]" caption="__XL_Count lesMois" measure="1" displayFolder="" measureGroup="lesMois" count="0" hidden="1"/>
    <cacheHierarchy uniqueName="[Measures].[__XL_Count listeInventaire]" caption="__XL_Count listeInventaire" measure="1" displayFolder="" measureGroup="listeInventaire" count="0" hidden="1"/>
    <cacheHierarchy uniqueName="[Measures].[__No measures defined]" caption="__No measures defined" measure="1" displayFolder="" count="0" hidden="1"/>
    <cacheHierarchy uniqueName="[Measures].[Somme de Quantité]" caption="Somme de Quantité" measure="1" displayFolder="" measureGroup="listeAchats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omme de Total]" caption="Somme de Total" measure="1" displayFolder="" measureGroup="listeAchats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omme de Total 2]" caption="Somme de Total 2" measure="1" displayFolder="" measureGroup="listeVentes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Quantité 2]" caption="Somme de Quantité 2" measure="1" displayFolder="" measureGroup="listeVentes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</cacheHierarchies>
  <kpis count="0"/>
  <dimensions count="7">
    <dimension name="lesCategories" uniqueName="[lesCategories]" caption="lesCategories"/>
    <dimension name="lesMois" uniqueName="[lesMois]" caption="lesMois"/>
    <dimension name="lesReferences" uniqueName="[lesReferences]" caption="lesReferences"/>
    <dimension name="listeAchats" uniqueName="[listeAchats]" caption="listeAchats"/>
    <dimension name="listeInventaire" uniqueName="[listeInventaire]" caption="listeInventaire"/>
    <dimension name="listeVentes" uniqueName="[listeVentes]" caption="listeVentes"/>
    <dimension measure="1" name="Measures" uniqueName="[Measures]" caption="Measures"/>
  </dimensions>
  <measureGroups count="6">
    <measureGroup name="lesCategories" caption="lesCategories"/>
    <measureGroup name="lesMois" caption="lesMois"/>
    <measureGroup name="lesReferences" caption="lesReferences"/>
    <measureGroup name="listeAchats" caption="listeAchats"/>
    <measureGroup name="listeInventaire" caption="listeInventaire"/>
    <measureGroup name="listeVentes" caption="listeVentes"/>
  </measureGroups>
  <maps count="12">
    <map measureGroup="0" dimension="0"/>
    <map measureGroup="1" dimension="1"/>
    <map measureGroup="2" dimension="2"/>
    <map measureGroup="3" dimension="0"/>
    <map measureGroup="3" dimension="1"/>
    <map measureGroup="3" dimension="2"/>
    <map measureGroup="3" dimension="3"/>
    <map measureGroup="4" dimension="4"/>
    <map measureGroup="5" dimension="0"/>
    <map measureGroup="5" dimension="1"/>
    <map measureGroup="5" dimension="2"/>
    <map measureGroup="5" dimension="5"/>
  </maps>
  <extLst>
    <ext xmlns:x14="http://schemas.microsoft.com/office/spreadsheetml/2009/9/main" uri="{725AE2AE-9491-48be-B2B4-4EB974FC3084}">
      <x14:pivotCacheDefinition slicerData="1" pivotCacheId="776015872"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s v="S1"/>
    <x v="0"/>
    <s v="SmartPhone"/>
    <s v="1 unité"/>
    <n v="10"/>
    <n v="20"/>
    <n v="55"/>
    <n v="60"/>
    <n v="15"/>
    <n v="599.4666666666667"/>
    <n v="8992"/>
    <x v="0"/>
  </r>
  <r>
    <s v="S2"/>
    <x v="1"/>
    <s v="SmartPhone"/>
    <s v="1 unité"/>
    <n v="10"/>
    <n v="3"/>
    <n v="96"/>
    <n v="87"/>
    <n v="12"/>
    <n v="1400"/>
    <n v="16800"/>
    <x v="0"/>
  </r>
  <r>
    <s v="B1"/>
    <x v="2"/>
    <s v="Biscuits "/>
    <s v="1 unité "/>
    <n v="10"/>
    <n v="10"/>
    <n v="95"/>
    <n v="79"/>
    <n v="26"/>
    <n v="0.20904761904761907"/>
    <n v="5.4352380952380956"/>
    <x v="0"/>
  </r>
  <r>
    <s v="B2"/>
    <x v="2"/>
    <s v="Biscuits "/>
    <s v="Pack de 10 unités"/>
    <n v="50"/>
    <n v="15"/>
    <n v="147"/>
    <n v="64"/>
    <n v="98"/>
    <n v="2"/>
    <n v="196"/>
    <x v="0"/>
  </r>
  <r>
    <s v="B3"/>
    <x v="2"/>
    <s v="Biscuits "/>
    <s v="Pack de 20 unités"/>
    <n v="20"/>
    <n v="5"/>
    <n v="320"/>
    <n v="195"/>
    <n v="130"/>
    <n v="4"/>
    <n v="520"/>
    <x v="0"/>
  </r>
  <r>
    <s v="E1"/>
    <x v="3"/>
    <s v="Electro"/>
    <s v="1 unité"/>
    <n v="10"/>
    <n v="5"/>
    <n v="24"/>
    <n v="21"/>
    <n v="8"/>
    <n v="700"/>
    <n v="5600"/>
    <x v="1"/>
  </r>
  <r>
    <s v="E2"/>
    <x v="4"/>
    <s v="Electro"/>
    <s v="1 unité"/>
    <n v="10"/>
    <n v="3"/>
    <n v="40"/>
    <n v="24"/>
    <n v="19"/>
    <n v="300"/>
    <n v="5700"/>
    <x v="0"/>
  </r>
  <r>
    <s v="E3"/>
    <x v="5"/>
    <s v="Electro"/>
    <s v="1 unité"/>
    <n v="10"/>
    <n v="6"/>
    <n v="65"/>
    <n v="28"/>
    <n v="43"/>
    <n v="150"/>
    <n v="6450"/>
    <x v="0"/>
  </r>
  <r>
    <s v="E4"/>
    <x v="6"/>
    <s v="Electro"/>
    <s v="1 unité"/>
    <n v="10"/>
    <n v="0"/>
    <n v="60"/>
    <n v="60"/>
    <n v="0"/>
    <n v="500"/>
    <n v="0"/>
    <x v="2"/>
  </r>
  <r>
    <s v="C1"/>
    <x v="7"/>
    <s v="Consoles"/>
    <s v="1 unité"/>
    <n v="10"/>
    <n v="3"/>
    <n v="50"/>
    <n v="40"/>
    <n v="13"/>
    <n v="751.88679245283015"/>
    <n v="9774.5283018867922"/>
    <x v="0"/>
  </r>
  <r>
    <s v="C2"/>
    <x v="8"/>
    <s v="Consoles"/>
    <s v="1 unité"/>
    <n v="10"/>
    <n v="6"/>
    <n v="40"/>
    <n v="44"/>
    <n v="2"/>
    <n v="407.06521739130437"/>
    <n v="814.13043478260875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336A7D-43B4-43C8-A3A1-1246BED37CC4}" name="Tableau croisé dynamique4" cacheId="1049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96:B100" firstHeaderRow="1" firstDataRow="1" firstDataCol="1" rowPageCount="1" colPageCount="1"/>
  <pivotFields count="12">
    <pivotField showAll="0"/>
    <pivotField axis="axisRow" showAll="0">
      <items count="10">
        <item x="6"/>
        <item x="5"/>
        <item x="0"/>
        <item x="1"/>
        <item x="8"/>
        <item x="2"/>
        <item x="7"/>
        <item x="4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numFmtId="164" showAll="0"/>
    <pivotField numFmtId="164" showAll="0"/>
    <pivotField axis="axisPage" multipleItemSelectionAllowed="1" showAll="0">
      <items count="4">
        <item x="2"/>
        <item x="1"/>
        <item h="1" x="0"/>
        <item t="default"/>
      </items>
    </pivotField>
  </pivotFields>
  <rowFields count="1">
    <field x="1"/>
  </rowFields>
  <rowItems count="4">
    <i>
      <x/>
    </i>
    <i>
      <x v="4"/>
    </i>
    <i>
      <x v="8"/>
    </i>
    <i t="grand">
      <x/>
    </i>
  </rowItems>
  <colItems count="1">
    <i/>
  </colItems>
  <pageFields count="1">
    <pageField fld="11" hier="-1"/>
  </pageFields>
  <dataFields count="1">
    <dataField name="Somme de Stock final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7DB638-3D61-44B0-AD3D-D4A11C4941C1}" name="TDC13 - TOP 3 Produits vendus" cacheId="69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4" rowHeaderCaption="TOP 3 Produits vendus">
  <location ref="A84:B88" firstHeaderRow="1" firstDataRow="1" firstDataCol="1"/>
  <pivotFields count="3">
    <pivotField axis="axisRow" allDrilled="1" subtotalTop="0" showAll="0" measureFilter="1" sortType="ascending" defaultSubtotal="0" defaultAttributeDrillState="1">
      <items count="3">
        <item x="0"/>
        <item x="1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me de Total" fld="1" baseField="0" baseItem="0" numFmtId="165"/>
  </dataFields>
  <formats count="1">
    <format dxfId="4">
      <pivotArea outline="0" collapsedLevelsAreSubtotals="1" fieldPosition="0"/>
    </format>
  </formats>
  <chartFormats count="2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0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count" id="1" iMeasureHier="46">
      <autoFilter ref="A1">
        <filterColumn colId="0">
          <top10 val="3" filterVal="3"/>
        </filterColumn>
      </autoFilter>
    </filter>
  </filters>
  <rowHierarchiesUsage count="1">
    <rowHierarchyUsage hierarchyUsage="2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Ventes">
        <x15:activeTabTopLevelEntity name="[listeVen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2CC399-910C-47DA-890A-C9A1D7D98EAC}" name="TDC12 - TotalValeur (Sortie)" cacheId="1442" applyNumberFormats="0" applyBorderFormats="0" applyFontFormats="0" applyPatternFormats="0" applyAlignmentFormats="0" applyWidthHeightFormats="1" dataCaption="Valeurs" updatedVersion="8" minRefreshableVersion="3" useAutoFormatting="1" subtotalHiddenItems="1" itemPrintTitles="1" createdVersion="8" indent="0" outline="1" outlineData="1" multipleFieldFilters="0" chartFormat="22" rowHeaderCaption="TotalValeur (Sortie)">
  <location ref="A76:C82" firstHeaderRow="0" firstDataRow="1" firstDataCol="1"/>
  <pivotFields count="5">
    <pivotField axis="axisRow" allDrilled="1" subtotalTop="0" showAll="0" dataSourceSort="1" defaultSubtotal="0" defaultAttributeDrillState="1">
      <items count="3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</items>
    </pivotField>
    <pivotField axis="axisRow" allDrilled="1" subtotalTop="0" showAll="0" dataSourceSort="1" defaultSubtotal="0">
      <items count="5">
        <item x="0" e="0"/>
        <item x="1" e="0"/>
        <item x="2" e="0"/>
        <item x="3" e="0"/>
        <item x="4" e="0"/>
      </items>
    </pivotField>
    <pivotField dataField="1" subtotalTop="0" showAll="0" defaultSubtotal="0"/>
    <pivotField allDrilled="1" subtotalTop="0" showAll="0" dataSourceSort="1" defaultSubtotal="0" defaultAttributeDrillState="1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2">
    <field x="1"/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Total" fld="2" baseField="0" baseItem="0"/>
    <dataField name="Somme de Total2" fld="4" baseField="0" baseItem="0">
      <extLst>
        <ext xmlns:x14="http://schemas.microsoft.com/office/spreadsheetml/2009/9/main" uri="{E15A36E0-9728-4e99-A89B-3F7291B0FE68}">
          <x14:dataField sourceField="2" uniqueName="[__Xl2].[Measures].[Somme de Total 2]"/>
        </ext>
      </extLst>
    </dataField>
  </dataFields>
  <formats count="1">
    <format dxfId="5">
      <pivotArea outline="0" collapsedLevelsAreSubtotals="1" fieldPosition="0"/>
    </format>
  </formats>
  <chartFormats count="4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51"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2">
    <rowHierarchyUsage hierarchyUsage="34"/>
    <rowHierarchyUsage hierarchyUsage="2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Ventes">
        <x15:activeTabTopLevelEntity name="[listeVen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C7E1D9-5E63-4659-A24D-5823FD5E6F95}" name="TDC12 - TotalValeur (Entrée)" cacheId="1439" applyNumberFormats="0" applyBorderFormats="0" applyFontFormats="0" applyPatternFormats="0" applyAlignmentFormats="0" applyWidthHeightFormats="1" dataCaption="Valeurs" updatedVersion="8" minRefreshableVersion="3" useAutoFormatting="1" subtotalHiddenItems="1" itemPrintTitles="1" createdVersion="8" indent="0" outline="1" outlineData="1" multipleFieldFilters="0" chartFormat="28" rowHeaderCaption="TotalValeur (Entrée)">
  <location ref="A68:C74" firstHeaderRow="0" firstDataRow="1" firstDataCol="1"/>
  <pivotFields count="5">
    <pivotField axis="axisRow" allDrilled="1" subtotalTop="0" showAll="0" dataSourceSort="1" defaultSubtotal="0" defaultAttributeDrillState="1">
      <items count="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</items>
    </pivotField>
    <pivotField axis="axisRow" allDrilled="1" subtotalTop="0" showAll="0" dataSourceSort="1" defaultSubtotal="0">
      <items count="5">
        <item x="0" e="0"/>
        <item x="1" e="0"/>
        <item x="2" e="0"/>
        <item x="3" e="0"/>
        <item x="4" e="0"/>
      </items>
    </pivotField>
    <pivotField dataField="1" subtotalTop="0" showAll="0" defaultSubtotal="0"/>
    <pivotField allDrilled="1" subtotalTop="0" showAll="0" dataSourceSort="1" defaultSubtotal="0" defaultAttributeDrillState="1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2">
    <field x="1"/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omme de Total" fld="2" baseField="0" baseItem="0"/>
    <dataField name="Somme de Total2" fld="4" baseField="0" baseItem="0">
      <extLst>
        <ext xmlns:x14="http://schemas.microsoft.com/office/spreadsheetml/2009/9/main" uri="{E15A36E0-9728-4e99-A89B-3F7291B0FE68}">
          <x14:dataField sourceField="2" uniqueName="[__Xl2].[Measures].[Somme de Total]"/>
        </ext>
      </extLst>
    </dataField>
  </dataFields>
  <formats count="1">
    <format dxfId="0">
      <pivotArea outline="0" collapsedLevelsAreSubtotals="1" fieldPosition="0"/>
    </format>
  </format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</chartFormats>
  <pivotHierarchies count="51"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Light16" showRowHeaders="1" showColHeaders="1" showRowStripes="0" showColStripes="0" showLastColumn="1"/>
  <rowHierarchiesUsage count="2">
    <rowHierarchyUsage hierarchyUsage="12"/>
    <rowHierarchyUsage hierarchyUsage="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Achats">
        <x15:activeTabTopLevelEntity name="[listeAchats]"/>
        <x15:activeTabTopLevelEntity name="[lesCategories]"/>
        <x15:activeTabTopLevelEntity name="[lesReferenc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3C3913-05A4-425A-87E2-88FF8277AF4C}" name="TDC2 - Entrees + Valeurs" cacheId="1412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4:B5" firstHeaderRow="0" firstDataRow="1" firstDataCol="0"/>
  <pivotFields count="3"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Fields count="1">
    <field x="-2"/>
  </colFields>
  <colItems count="2">
    <i>
      <x/>
    </i>
    <i i="1">
      <x v="1"/>
    </i>
  </colItems>
  <dataFields count="2">
    <dataField name="Somme des Entrées" fld="0" baseField="0" baseItem="1"/>
    <dataField name="Somme de Total" fld="1" baseField="0" baseItem="0" numFmtId="164"/>
  </dataFields>
  <formats count="1">
    <format dxfId="5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Hierarchies count="50"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Somme des Entrées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Achats]"/>
        <x15:activeTabTopLevelEntity name="[lesCategori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2DB9B3-6143-49E1-8847-F81EBD6DA70B}" name="TDC5 - Total(STOCK)" cacheId="1042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7" rowHeaderCaption="Valeurs Stock par Catégorie">
  <location ref="A17:B22" firstHeaderRow="1" firstDataRow="1" firstDataCol="1"/>
  <pivotFields count="2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Valeur" fld="1" baseField="0" baseItem="0" numFmtId="165"/>
  </dataFields>
  <formats count="1">
    <format dxfId="56">
      <pivotArea outline="0" collapsedLevelsAreSubtotals="1" fieldPosition="0"/>
    </format>
  </format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Hierarchies count="5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_de_stock_my_version.xlsm!listeInventaire">
        <x15:activeTabTopLevelEntity name="[listeInventair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B55AD6-EA2A-4007-B711-354666F1A008}" name="TDC8 - SommeQuantité(Sortie)" cacheId="704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5" rowHeaderCaption="Quantité Sortie par Catégorie">
  <location ref="A38:B43" firstHeaderRow="1" firstDataRow="1" firstDataCol="1"/>
  <pivotFields count="3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Quantité" fld="1" baseField="0" baseItem="0"/>
  </dataField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Hierarchies count="50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Ventes">
        <x15:activeTabTopLevelEntity name="[listeVen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54989B-0BDF-4F04-9928-FC7CA5B8CE1F}" name="TCD 1 : Stock et Valeur Final" cacheId="1049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1:B2" firstHeaderRow="0" firstDataRow="1" firstDataCol="0"/>
  <pivotFields count="12"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4" showAll="0"/>
    <pivotField dataField="1" numFmtId="164" showAll="0"/>
    <pivotField showAl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Somme de Stock final" fld="8" baseField="0" baseItem="0"/>
    <dataField name="Somme de Valeur" fld="10" baseField="0" baseItem="0" numFmtId="164"/>
  </dataFields>
  <formats count="1">
    <format dxfId="5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CABBB1-4DF5-4403-8575-7B106BC0B5B3}" name="TDC4 - SommeQuantité(STOCK)" cacheId="104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8" rowHeaderCaption="Quantité Stock par Catégorie">
  <location ref="A10:B15" firstHeaderRow="1" firstDataRow="1" firstDataCol="1"/>
  <pivotFields count="2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Stock final" fld="1" baseField="0" baseItem="0"/>
  </dataField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5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Hierarchies count="5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_de_stock_my_version.xlsm!listeInventaire">
        <x15:activeTabTopLevelEntity name="[listeInventair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474DD1-A2AB-444C-B4E1-A570578C2EDE}" name="TDC7 - Total(Entrée)" cacheId="701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7" rowHeaderCaption="Valeur Entrée par Catégorie">
  <location ref="A31:B36" firstHeaderRow="1" firstDataRow="1" firstDataCol="1"/>
  <pivotFields count="3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Total" fld="1" baseField="0" baseItem="0" numFmtId="165"/>
  </dataFields>
  <formats count="1">
    <format dxfId="58">
      <pivotArea outline="0" collapsedLevelsAreSubtotals="1" fieldPosition="0"/>
    </format>
  </formats>
  <chartFormats count="1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6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6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Hierarchies count="50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Achats">
        <x15:activeTabTopLevelEntity name="[listeAcha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E8672C-C194-4675-A398-B3DB69E7F9DB}" name="TDC3 - Sorties + Valeurs" cacheId="143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7:B8" firstHeaderRow="0" firstDataRow="1" firstDataCol="0"/>
  <pivotFields count="3"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Items count="1">
    <i/>
  </rowItems>
  <colFields count="1">
    <field x="-2"/>
  </colFields>
  <colItems count="2">
    <i>
      <x/>
    </i>
    <i i="1">
      <x v="1"/>
    </i>
  </colItems>
  <dataFields count="2">
    <dataField name="Somme des Sorties" fld="0" baseField="0" baseItem="0"/>
    <dataField name="Somme de Total" fld="1" baseField="0" baseItem="0" numFmtId="164"/>
  </dataFields>
  <formats count="1">
    <format dxfId="5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Hierarchies count="50">
    <pivotHierarchy multipleItemSelectionAllowed="1"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Ventes">
        <x15:activeTabTopLevelEntity name="[listeVentes]"/>
        <x15:activeTabTopLevelEntity name="[lesCategories]"/>
        <x15:activeTabTopLevelEntity name="[lesReferences]"/>
        <x15:activeTabTopLevelEntity name="[lesMoi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013DC5-C9DF-4B3F-A8DA-44D965CC1491}" name="TDC6 - SommeQuantité(Entrée)" cacheId="698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4" rowHeaderCaption="Quantité Entrée par Catégorie">
  <location ref="A24:B29" firstHeaderRow="1" firstDataRow="1" firstDataCol="1"/>
  <pivotFields count="3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Quantité" fld="1" baseField="0" baseItem="0"/>
  </dataFields>
  <chartFormats count="1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6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6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0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0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0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Hierarchies count="50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Achats">
        <x15:activeTabTopLevelEntity name="[listeAchats]"/>
        <x15:activeTabTopLevelEntity name="[lesMoi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794694-75C4-4C76-821A-16BF9E96C1E7}" name="TDC9 - Total(Sortie)" cacheId="707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5" rowHeaderCaption="Valeurs Sortie par Catégorie">
  <location ref="A45:B50" firstHeaderRow="1" firstDataRow="1" firstDataCol="1"/>
  <pivotFields count="3">
    <pivotField axis="axisRow" allDrilled="1" subtotalTop="0" showAll="0" dataSourceSort="1" defaultSubtotal="0" defaultAttributeDrillState="1">
      <items count="4">
        <item x="0"/>
        <item x="1"/>
        <item x="2"/>
        <item x="3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me de Total" fld="1" baseField="0" baseItem="0" numFmtId="165"/>
  </dataFields>
  <formats count="1">
    <format dxfId="60">
      <pivotArea outline="0" collapsedLevelsAreSubtotals="1" fieldPosition="0"/>
    </format>
  </format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Hierarchies count="50"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Ventes">
        <x15:activeTabTopLevelEntity name="[listeVen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AEF869-848F-40D9-B0FE-7848F53CD739}" name="TDC11 - Quantité par mois (Sortie)" cacheId="1436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rowHeaderCaption="Quantité par mois (Sortie)">
  <location ref="A60:B66" firstHeaderRow="1" firstDataRow="1" firstDataCol="1"/>
  <pivotFields count="4">
    <pivotField axis="axisRow" allDrilled="1" subtotalTop="0" showAll="0" dataSourceSort="1" defaultSubtotal="0" defaultAttributeDrillState="1">
      <items count="3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</items>
    </pivotField>
    <pivotField axis="axisRow" allDrilled="1" subtotalTop="0" showAll="0" dataSourceSort="1" defaultSubtotal="0">
      <items count="5">
        <item x="0" e="0"/>
        <item x="1" e="0"/>
        <item x="2" e="0"/>
        <item x="3" e="0"/>
        <item x="4" e="0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2">
    <field x="1"/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me de Quantité" fld="2" baseField="0" baseItem="0"/>
  </dataFields>
  <pivotHierarchies count="50"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4"/>
    <rowHierarchyUsage hierarchyUsage="2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Ventes">
        <x15:activeTabTopLevelEntity name="[listeVent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A32A06-8789-4DF4-8171-F7892451EF44}" name="TDC10 - Quantité par mois (Entrée)" cacheId="1433" applyNumberFormats="0" applyBorderFormats="0" applyFontFormats="0" applyPatternFormats="0" applyAlignmentFormats="0" applyWidthHeightFormats="1" dataCaption="Valeurs" updatedVersion="8" minRefreshableVersion="3" useAutoFormatting="1" subtotalHiddenItems="1" itemPrintTitles="1" createdVersion="8" indent="0" outline="1" outlineData="1" multipleFieldFilters="0" rowHeaderCaption="Quantité par mois (Entrée)">
  <location ref="A52:B58" firstHeaderRow="1" firstDataRow="1" firstDataCol="1"/>
  <pivotFields count="4">
    <pivotField axis="axisRow" allDrilled="1" subtotalTop="0" showAll="0" dataSourceSort="1" defaultSubtotal="0" defaultAttributeDrillState="1">
      <items count="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</items>
    </pivotField>
    <pivotField axis="axisRow" allDrilled="1" subtotalTop="0" showAll="0" dataSourceSort="1" defaultSubtotal="0">
      <items count="5">
        <item x="0" e="0"/>
        <item x="1" e="0"/>
        <item x="2" e="0"/>
        <item x="3" e="0"/>
        <item x="4" e="0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2">
    <field x="1"/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omme de Quantité" fld="2" baseField="0" baseItem="0"/>
  </dataFields>
  <pivotHierarchies count="50"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2"/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Gestion de stock.xlsm!listeAchats">
        <x15:activeTabTopLevelEntity name="[listeAcha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atégories" xr10:uid="{5BDA918D-3851-4F4F-AF8C-476A515785A8}" sourceName="[lesCategories].[Catégories]">
  <pivotTables>
    <pivotTable tabId="14" name="TDC2 - Entrees + Valeurs"/>
    <pivotTable tabId="14" name="TDC3 - Sorties + Valeurs"/>
    <pivotTable tabId="14" name="TDC10 - Quantité par mois (Entrée)"/>
    <pivotTable tabId="14" name="TDC11 - Quantité par mois (Sortie)"/>
    <pivotTable tabId="14" name="TDC12 - TotalValeur (Entrée)"/>
    <pivotTable tabId="14" name="TDC12 - TotalValeur (Sortie)"/>
  </pivotTables>
  <data>
    <olap pivotCacheId="776015872">
      <levels count="2">
        <level uniqueName="[lesCategories].[Catégories].[(All)]" sourceCaption="(All)" count="0"/>
        <level uniqueName="[lesCategories].[Catégories].[Catégories]" sourceCaption="Catégories" count="4">
          <ranges>
            <range startItem="0">
              <i n="[lesCategories].[Catégories].&amp;[Biscuits]" c="Biscuits"/>
              <i n="[lesCategories].[Catégories].&amp;[Consoles]" c="Consoles"/>
              <i n="[lesCategories].[Catégories].&amp;[Electro]" c="Electro"/>
              <i n="[lesCategories].[Catégories].&amp;[SmartPhone]" c="SmartPhone"/>
            </range>
          </ranges>
        </level>
      </levels>
      <selections count="1">
        <selection n="[lesCategories].[Catégories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Références" xr10:uid="{5DF06AAC-1D53-46D1-9A64-B936EA7516A3}" sourceName="[lesReferences].[Références]">
  <pivotTables>
    <pivotTable tabId="14" name="TDC3 - Sorties + Valeurs"/>
    <pivotTable tabId="14" name="TDC10 - Quantité par mois (Entrée)"/>
    <pivotTable tabId="14" name="TDC11 - Quantité par mois (Sortie)"/>
    <pivotTable tabId="14" name="TDC12 - TotalValeur (Entrée)"/>
    <pivotTable tabId="14" name="TDC12 - TotalValeur (Sortie)"/>
  </pivotTables>
  <data>
    <olap pivotCacheId="776015872">
      <levels count="2">
        <level uniqueName="[lesReferences].[Références].[(All)]" sourceCaption="(All)" count="0"/>
        <level uniqueName="[lesReferences].[Références].[Références]" sourceCaption="Références" count="11">
          <ranges>
            <range startItem="0">
              <i n="[lesReferences].[Références].&amp;[B1]" c="B1"/>
              <i n="[lesReferences].[Références].&amp;[B2]" c="B2"/>
              <i n="[lesReferences].[Références].&amp;[B3]" c="B3"/>
              <i n="[lesReferences].[Références].&amp;[C1]" c="C1"/>
              <i n="[lesReferences].[Références].&amp;[C2]" c="C2"/>
              <i n="[lesReferences].[Références].&amp;[E1]" c="E1"/>
              <i n="[lesReferences].[Références].&amp;[E2]" c="E2"/>
              <i n="[lesReferences].[Références].&amp;[E3]" c="E3"/>
              <i n="[lesReferences].[Références].&amp;[E4]" c="E4"/>
              <i n="[lesReferences].[Références].&amp;[S1]" c="S1"/>
              <i n="[lesReferences].[Références].&amp;[S2]" c="S2"/>
            </range>
          </ranges>
        </level>
      </levels>
      <selections count="1">
        <selection n="[lesReferences].[Références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Mois" xr10:uid="{27B373A9-4FF7-4C2B-9D02-8096319D68EF}" sourceName="[lesMois].[Mois]">
  <pivotTables>
    <pivotTable tabId="14" name="TDC3 - Sorties + Valeurs"/>
    <pivotTable tabId="14" name="TDC2 - Entrees + Valeurs"/>
    <pivotTable tabId="14" name="TDC13 - TOP 3 Produits vendus"/>
    <pivotTable tabId="14" name="TDC6 - SommeQuantité(Entrée)"/>
    <pivotTable tabId="14" name="TDC7 - Total(Entrée)"/>
    <pivotTable tabId="14" name="TDC8 - SommeQuantité(Sortie)"/>
    <pivotTable tabId="14" name="TDC9 - Total(Sortie)"/>
  </pivotTables>
  <data>
    <olap pivotCacheId="776015872">
      <levels count="2">
        <level uniqueName="[lesMois].[Mois].[(All)]" sourceCaption="(All)" count="0"/>
        <level uniqueName="[lesMois].[Mois].[Mois]" sourceCaption="Mois" count="5">
          <ranges>
            <range startItem="0">
              <i n="[lesMois].[Mois].&amp;[avr]" c="avr"/>
              <i n="[lesMois].[Mois].&amp;[févr]" c="févr"/>
              <i n="[lesMois].[Mois].&amp;[janv]" c="janv"/>
              <i n="[lesMois].[Mois].&amp;[mai]" c="mai"/>
              <i n="[lesMois].[Mois].&amp;[mars]" c="mars"/>
            </range>
          </ranges>
        </level>
      </levels>
      <selections count="1">
        <selection n="[lesMois].[Mois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égories 1" xr10:uid="{02C59DDF-797F-4E96-BFA5-972709C22B6F}" cache="Segment_Catégories" caption="Catégories" level="1" rowHeight="241300"/>
  <slicer name="Références 1" xr10:uid="{B1A6D512-6601-489C-9B66-DA70D447784D}" cache="Segment_Références" caption="Références" columnCount="3" level="1" rowHeight="241300"/>
  <slicer name="Mois 1" xr10:uid="{45FAB711-66CE-4959-91EC-3FD0941B3565}" cache="Segment_Mois" caption="Mois" level="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égories" xr10:uid="{F4BE36BC-BDA3-4C07-BA49-FC4BDA9B784F}" cache="Segment_Catégories" caption="Catégories" level="1" rowHeight="241300"/>
  <slicer name="Références" xr10:uid="{165294C3-B3D4-4B44-B2FD-5318A5F0F642}" cache="Segment_Références" caption="Références" columnCount="3" level="1" rowHeight="241300"/>
  <slicer name="Mois" xr10:uid="{57C9E9A7-50FC-45F9-8CB7-B84F51A03725}" cache="Segment_Mois" caption="Mois" level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B7ADDF-8724-4FBD-A21F-3CA7E69BDD54}" name="listeProduits" displayName="listeProduits" ref="C14:J25" totalsRowShown="0" headerRowDxfId="54" dataDxfId="53">
  <autoFilter ref="C14:J25" xr:uid="{7DBD995E-9056-48FE-A692-A1C33325CB75}"/>
  <tableColumns count="8">
    <tableColumn id="1" xr3:uid="{0229BEFB-2762-4DD6-BE9F-BB731D9D2550}" name="Référence" dataDxfId="52"/>
    <tableColumn id="2" xr3:uid="{69181FD6-241F-48AC-8770-FD360A3A5D09}" name="Désignation" dataDxfId="51"/>
    <tableColumn id="3" xr3:uid="{653A60CB-48A1-4B6B-8CEE-A19375500291}" name="Catégorie" dataDxfId="50"/>
    <tableColumn id="4" xr3:uid="{57170E49-5279-4228-9CCA-87DFA972F364}" name="Unité" dataDxfId="49"/>
    <tableColumn id="8" xr3:uid="{56D46FC4-26DA-485D-BF6A-955386E6D988}" name="Seuil d'alerte" dataDxfId="48"/>
    <tableColumn id="7" xr3:uid="{98C0B310-9549-478B-9F9D-EE31A9EAA7C3}" name="Stock initial" dataDxfId="47"/>
    <tableColumn id="6" xr3:uid="{67E0BD55-1F7C-4945-860F-0026DA4965D6}" name="Prix unitaire" dataDxfId="46"/>
    <tableColumn id="5" xr3:uid="{8794DDBC-18EB-4B0A-B625-070918D096DB}" name="Total" dataDxfId="45">
      <calculatedColumnFormula>listeProduits[[#This Row],[Stock initial]]*listeProduits[[#This Row],[Prix unitaire]]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4010C46-8DEB-4521-8D5A-D81198D89F82}" name="listeAchats" displayName="listeAchats" ref="C6:K63" totalsRowShown="0" headerRowDxfId="44" dataDxfId="43">
  <autoFilter ref="C6:K63" xr:uid="{FBC92809-A0A3-41BD-BD6B-A1A48E41444F}"/>
  <tableColumns count="9">
    <tableColumn id="1" xr3:uid="{6036FD50-7731-4593-8EAC-FADBAEF83BAB}" name="Numéro" dataDxfId="42"/>
    <tableColumn id="10" xr3:uid="{BC77A533-7FE4-4F09-9092-C2700BC2AB71}" name="Date" dataDxfId="41"/>
    <tableColumn id="9" xr3:uid="{FA449DF7-B3D0-4548-A945-06B4965F1B20}" name="Référence" dataDxfId="40"/>
    <tableColumn id="8" xr3:uid="{77AECE20-D510-423B-9DCF-36C61FAC7276}" name="Désignation" dataDxfId="39"/>
    <tableColumn id="7" xr3:uid="{6855B33D-4745-4741-9779-09D7B20EEC1A}" name="Catégorie" dataDxfId="38"/>
    <tableColumn id="6" xr3:uid="{AA238DD9-AF59-4091-9793-9DF7C13A007B}" name="Unité" dataDxfId="37"/>
    <tableColumn id="5" xr3:uid="{F95BCB2C-A98F-4257-8D0B-F4750BE5D00E}" name="Coût d'achat" dataDxfId="36"/>
    <tableColumn id="2" xr3:uid="{E7797A9D-C487-4F25-A92A-49779B14AD1C}" name="Quantité" dataDxfId="35"/>
    <tableColumn id="3" xr3:uid="{9481A671-1A37-48FD-9423-3882301CDABC}" name="Total" dataDxfId="34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B97AFBA-9F9F-4CDC-BE43-538AF748D910}" name="listeVentes" displayName="listeVentes" ref="C6:K66" totalsRowShown="0" headerRowDxfId="33" dataDxfId="32">
  <autoFilter ref="C6:K66" xr:uid="{22FDADE4-02FF-46E6-AF6F-3871B013E254}"/>
  <tableColumns count="9">
    <tableColumn id="1" xr3:uid="{E27792E8-AD65-44DE-8928-F2F127115287}" name="Numéro" dataDxfId="31"/>
    <tableColumn id="10" xr3:uid="{504282B1-4D3E-4C1A-8AFC-FF1D140BEC81}" name="Date" dataDxfId="30"/>
    <tableColumn id="9" xr3:uid="{27CE6545-277D-4C40-B1C0-FFE9AF03D9A8}" name="Référence" dataDxfId="29"/>
    <tableColumn id="8" xr3:uid="{928709BF-CA60-40E2-A381-29FB9C39540F}" name="Désignation" dataDxfId="28"/>
    <tableColumn id="7" xr3:uid="{CCD6BBBF-AAC8-49F6-942E-F736F510C7D5}" name="Catégorie" dataDxfId="27"/>
    <tableColumn id="6" xr3:uid="{F1857E15-A99F-4799-83EE-E2F326BE1821}" name="Unité" dataDxfId="26"/>
    <tableColumn id="5" xr3:uid="{4234A30E-AFCB-4635-A3CC-009F32C5B30B}" name="Prix de vente" dataDxfId="25"/>
    <tableColumn id="2" xr3:uid="{29E2188B-82CC-4864-AAEB-AAD3346C18B8}" name="Quantité" dataDxfId="24"/>
    <tableColumn id="3" xr3:uid="{71262398-BBBF-4CDF-A096-8F3BD034ADF1}" name="Total" dataDxfId="23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F327331-FCE2-47EC-AC7A-264D45049CD5}" name="listeInventaire" displayName="listeInventaire" ref="C5:N16" totalsRowShown="0" headerRowDxfId="22" dataDxfId="20" headerRowBorderDxfId="21" tableBorderDxfId="19" totalsRowBorderDxfId="18">
  <autoFilter ref="C5:N16" xr:uid="{9461CF19-655C-4501-BCB1-5A2CB4358DAD}"/>
  <tableColumns count="12">
    <tableColumn id="1" xr3:uid="{CE917253-C0E9-4992-B8E4-4F53EBB1ED59}" name="Référence" dataDxfId="17"/>
    <tableColumn id="10" xr3:uid="{9D6FDADB-9941-4A3B-A0F4-718BC2EDC925}" name="Désignation" dataDxfId="16">
      <calculatedColumnFormula>IFERROR(VLOOKUP(listeInventaire[[#This Row],[Référence]],listeProduits[],2,FALSE),"")</calculatedColumnFormula>
    </tableColumn>
    <tableColumn id="9" xr3:uid="{3376FBB9-D02F-455F-86C4-3310A3C29B92}" name="Catégorie" dataDxfId="15">
      <calculatedColumnFormula>IFERROR(VLOOKUP(listeInventaire[[#This Row],[Référence]],listeProduits[],3,FALSE),"")</calculatedColumnFormula>
    </tableColumn>
    <tableColumn id="8" xr3:uid="{9006CB1C-F6E0-426E-B742-25F3F970B0C6}" name="Unité" dataDxfId="14">
      <calculatedColumnFormula>IFERROR(VLOOKUP(listeInventaire[[#This Row],[Référence]],listeProduits[],4,FALSE),"")</calculatedColumnFormula>
    </tableColumn>
    <tableColumn id="14" xr3:uid="{DD7C1828-E2CA-42B9-B2CD-5549891AFF53}" name="Seuil d'alerte" dataDxfId="13">
      <calculatedColumnFormula>IFERROR(VLOOKUP(listeInventaire[[#This Row],[Référence]],listeProduits[],5,FALSE),"")</calculatedColumnFormula>
    </tableColumn>
    <tableColumn id="7" xr3:uid="{9FE58FD7-B33E-40D5-81AE-9971B77BF32A}" name="Stock initial" dataDxfId="12">
      <calculatedColumnFormula>IFERROR(VLOOKUP(listeInventaire[[#This Row],[Référence]],listeProduits[],6,FALSE),"")</calculatedColumnFormula>
    </tableColumn>
    <tableColumn id="6" xr3:uid="{7C4F6B98-BCBF-4D26-9642-E5447B396DDE}" name="Entrées" dataDxfId="11">
      <calculatedColumnFormula>SUMIF(listeAchats[Référence],listeInventaire[[#This Row],[Référence]],listeAchats[Quantité])</calculatedColumnFormula>
    </tableColumn>
    <tableColumn id="5" xr3:uid="{83CEEEA7-DB99-46BB-853A-34782B692876}" name="Sorties" dataDxfId="10">
      <calculatedColumnFormula>SUMIF(listeVentes[Référence],listeInventaire[[#This Row],[Référence]],listeVentes[Quantité])</calculatedColumnFormula>
    </tableColumn>
    <tableColumn id="11" xr3:uid="{5C858EA5-5FE3-48B7-9F7A-2459D826E103}" name="Stock final" dataDxfId="9">
      <calculatedColumnFormula>IFERROR(listeInventaire[[#This Row],[Stock initial]]+listeInventaire[[#This Row],[Entrées]]-listeInventaire[[#This Row],[Sorties]],"")</calculatedColumnFormula>
    </tableColumn>
    <tableColumn id="2" xr3:uid="{1AB82886-951E-490A-9714-0FED7CFCE89D}" name="CUMP" dataDxfId="8">
      <calculatedColumnFormula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calculatedColumnFormula>
    </tableColumn>
    <tableColumn id="13" xr3:uid="{B0301882-199A-4893-A4CD-746DD8B61B43}" name="Valeur" dataDxfId="7">
      <calculatedColumnFormula>IFERROR(listeInventaire[[#This Row],[Stock final]]*listeInventaire[[#This Row],[CUMP]],"")</calculatedColumnFormula>
    </tableColumn>
    <tableColumn id="3" xr3:uid="{D0316544-D8F0-4DB7-90A1-1C10BB3C8D00}" name="Statue" dataDxfId="6">
      <calculatedColumnFormula>IF(listeInventaire[[#This Row],[Stock final]]&gt;listeInventaire[[#This Row],[Seuil d''alerte]],"Stock normal",IF(listeInventaire[[#This Row],[Stock final]]=0,"Non disponible","Stock faible"))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F1BBA16-7BA3-4D50-A9DD-945A038CAB83}" name="lesCategories" displayName="lesCategories" ref="D1:D5" totalsRowShown="0">
  <autoFilter ref="D1:D5" xr:uid="{3F1BBA16-7BA3-4D50-A9DD-945A038CAB83}"/>
  <tableColumns count="1">
    <tableColumn id="1" xr3:uid="{EEF47BDE-C754-4E0B-BD15-6AD25D2A0B7E}" name="Catégori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FCF903-362E-4867-8DE3-263D2E153732}" name="lesRéférences" displayName="lesRéférences" ref="F1:F12" totalsRowShown="0">
  <autoFilter ref="F1:F12" xr:uid="{00FCF903-362E-4867-8DE3-263D2E153732}"/>
  <tableColumns count="1">
    <tableColumn id="1" xr3:uid="{E8464B30-88F1-4E21-B999-248A0781D970}" name="Référence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B63833E-9526-43B7-B22B-AE2E9995D7CD}" name="Tableau8" displayName="Tableau8" ref="H1:H6" totalsRowShown="0">
  <autoFilter ref="H1:H6" xr:uid="{9B63833E-9526-43B7-B22B-AE2E9995D7CD}"/>
  <tableColumns count="1">
    <tableColumn id="1" xr3:uid="{A3FEF42F-9EC3-47CA-8809-2B0BCBC0B8A7}" name="Moi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Personnalisé 6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F46BA"/>
      </a:accent1>
      <a:accent2>
        <a:srgbClr val="F9896B"/>
      </a:accent2>
      <a:accent3>
        <a:srgbClr val="84E8F4"/>
      </a:accent3>
      <a:accent4>
        <a:srgbClr val="FDBC64"/>
      </a:accent4>
      <a:accent5>
        <a:srgbClr val="6D6D6D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table" Target="../tables/table6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table" Target="../tables/table5.xml"/><Relationship Id="rId2" Type="http://schemas.openxmlformats.org/officeDocument/2006/relationships/pivotTable" Target="../pivotTables/pivotTable2.xml"/><Relationship Id="rId16" Type="http://schemas.openxmlformats.org/officeDocument/2006/relationships/drawing" Target="../drawings/drawing6.xml"/><Relationship Id="rId20" Type="http://schemas.microsoft.com/office/2007/relationships/slicer" Target="../slicers/slicer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7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D37D6-30E3-45E9-AD8D-70BE553CFEA3}">
  <sheetPr codeName="Feuil1"/>
  <dimension ref="C1:AF162"/>
  <sheetViews>
    <sheetView tabSelected="1" zoomScale="80" zoomScaleNormal="80" workbookViewId="0">
      <selection activeCell="E2" sqref="E2"/>
    </sheetView>
  </sheetViews>
  <sheetFormatPr baseColWidth="10" defaultRowHeight="14.4"/>
  <cols>
    <col min="4" max="4" width="0.89453125" customWidth="1"/>
  </cols>
  <sheetData>
    <row r="1" spans="3:32"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60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</row>
    <row r="2" spans="3:32"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</row>
    <row r="3" spans="3:32"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</row>
    <row r="4" spans="3:32"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</row>
    <row r="5" spans="3:32"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</row>
    <row r="6" spans="3:32"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</row>
    <row r="7" spans="3:32"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</row>
    <row r="8" spans="3:32"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</row>
    <row r="9" spans="3:32"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</row>
    <row r="10" spans="3:32"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</row>
    <row r="11" spans="3:32">
      <c r="C11" s="58">
        <v>45257</v>
      </c>
      <c r="D11" s="59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</row>
    <row r="12" spans="3:32"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</row>
    <row r="13" spans="3:32"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</row>
    <row r="14" spans="3:32"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</row>
    <row r="15" spans="3:32"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</row>
    <row r="16" spans="3:32"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</row>
    <row r="17" spans="5:32"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</row>
    <row r="18" spans="5:32"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</row>
    <row r="19" spans="5:32"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</row>
    <row r="20" spans="5:32"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</row>
    <row r="21" spans="5:32"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</row>
    <row r="22" spans="5:32"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</row>
    <row r="23" spans="5:32"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</row>
    <row r="24" spans="5:32"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</row>
    <row r="25" spans="5:32"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</row>
    <row r="26" spans="5:32"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</row>
    <row r="27" spans="5:32"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</row>
    <row r="28" spans="5:32"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</row>
    <row r="29" spans="5:32"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</row>
    <row r="30" spans="5:32"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</row>
    <row r="31" spans="5:32"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</row>
    <row r="32" spans="5:32"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</row>
    <row r="33" spans="5:32"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</row>
    <row r="34" spans="5:32"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</row>
    <row r="35" spans="5:32"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47"/>
      <c r="AC35" s="47"/>
      <c r="AD35" s="47"/>
      <c r="AE35" s="47"/>
      <c r="AF35" s="47"/>
    </row>
    <row r="36" spans="5:32"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</row>
    <row r="37" spans="5:32"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</row>
    <row r="38" spans="5:32"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</row>
    <row r="39" spans="5:32"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</row>
    <row r="40" spans="5:32"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</row>
    <row r="41" spans="5:32"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</row>
    <row r="42" spans="5:32"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</row>
    <row r="43" spans="5:32"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</row>
    <row r="44" spans="5:32"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</row>
    <row r="45" spans="5:32"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</row>
    <row r="46" spans="5:32"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</row>
    <row r="47" spans="5:32"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</row>
    <row r="48" spans="5:32"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</row>
    <row r="49" spans="5:32"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  <c r="AF49" s="47"/>
    </row>
    <row r="50" spans="5:32"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</row>
    <row r="51" spans="5:32"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7"/>
      <c r="V51" s="47"/>
      <c r="W51" s="47"/>
      <c r="X51" s="47"/>
      <c r="Y51" s="47"/>
      <c r="Z51" s="47"/>
      <c r="AA51" s="47"/>
      <c r="AB51" s="47"/>
      <c r="AC51" s="47"/>
      <c r="AD51" s="47"/>
      <c r="AE51" s="47"/>
      <c r="AF51" s="47"/>
    </row>
    <row r="52" spans="5:32"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7"/>
      <c r="V52" s="47"/>
      <c r="W52" s="47"/>
      <c r="X52" s="47"/>
      <c r="Y52" s="47"/>
      <c r="Z52" s="47"/>
      <c r="AA52" s="47"/>
      <c r="AB52" s="47"/>
      <c r="AC52" s="47"/>
      <c r="AD52" s="47"/>
      <c r="AE52" s="47"/>
      <c r="AF52" s="47"/>
    </row>
    <row r="53" spans="5:32"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</row>
    <row r="54" spans="5:32"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</row>
    <row r="55" spans="5:32"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</row>
    <row r="56" spans="5:32"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</row>
    <row r="57" spans="5:32"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  <c r="AA57" s="47"/>
      <c r="AB57" s="47"/>
      <c r="AC57" s="47"/>
      <c r="AD57" s="47"/>
      <c r="AE57" s="47"/>
      <c r="AF57" s="47"/>
    </row>
    <row r="58" spans="5:32"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</row>
    <row r="59" spans="5:32"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</row>
    <row r="60" spans="5:32"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</row>
    <row r="61" spans="5:32"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</row>
    <row r="62" spans="5:32"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</row>
    <row r="63" spans="5:32"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</row>
    <row r="64" spans="5:32"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</row>
    <row r="65" spans="5:32"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</row>
    <row r="66" spans="5:32"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</row>
    <row r="67" spans="5:32"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</row>
    <row r="68" spans="5:32"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</row>
    <row r="69" spans="5:32"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</row>
    <row r="70" spans="5:32"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</row>
    <row r="71" spans="5:32"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  <c r="AA71" s="47"/>
      <c r="AB71" s="47"/>
      <c r="AC71" s="47"/>
      <c r="AD71" s="47"/>
      <c r="AE71" s="47"/>
      <c r="AF71" s="47"/>
    </row>
    <row r="72" spans="5:32"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</row>
    <row r="73" spans="5:32"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  <c r="AA73" s="47"/>
      <c r="AB73" s="47"/>
      <c r="AC73" s="47"/>
      <c r="AD73" s="47"/>
      <c r="AE73" s="47"/>
      <c r="AF73" s="47"/>
    </row>
    <row r="74" spans="5:32"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</row>
    <row r="75" spans="5:32"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</row>
    <row r="76" spans="5:32"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</row>
    <row r="77" spans="5:32"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</row>
    <row r="78" spans="5:32"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</row>
    <row r="79" spans="5:32"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</row>
    <row r="80" spans="5:32"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</row>
    <row r="81" spans="5:32"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</row>
    <row r="82" spans="5:32"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</row>
    <row r="83" spans="5:32"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</row>
    <row r="84" spans="5:32"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  <c r="AA84" s="47"/>
      <c r="AB84" s="47"/>
      <c r="AC84" s="47"/>
      <c r="AD84" s="47"/>
      <c r="AE84" s="47"/>
      <c r="AF84" s="47"/>
    </row>
    <row r="85" spans="5:32"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  <c r="AA85" s="47"/>
      <c r="AB85" s="47"/>
      <c r="AC85" s="47"/>
      <c r="AD85" s="47"/>
      <c r="AE85" s="47"/>
      <c r="AF85" s="47"/>
    </row>
    <row r="86" spans="5:32"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  <c r="AA86" s="47"/>
      <c r="AB86" s="47"/>
      <c r="AC86" s="47"/>
      <c r="AD86" s="47"/>
      <c r="AE86" s="47"/>
      <c r="AF86" s="47"/>
    </row>
    <row r="87" spans="5:32"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</row>
    <row r="88" spans="5:32"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</row>
    <row r="89" spans="5:32"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  <c r="AA89" s="47"/>
      <c r="AB89" s="47"/>
      <c r="AC89" s="47"/>
      <c r="AD89" s="47"/>
      <c r="AE89" s="47"/>
      <c r="AF89" s="47"/>
    </row>
    <row r="90" spans="5:32"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  <c r="AA90" s="47"/>
      <c r="AB90" s="47"/>
      <c r="AC90" s="47"/>
      <c r="AD90" s="47"/>
      <c r="AE90" s="47"/>
      <c r="AF90" s="47"/>
    </row>
    <row r="91" spans="5:32"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</row>
    <row r="92" spans="5:32"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  <c r="AA92" s="47"/>
      <c r="AB92" s="47"/>
      <c r="AC92" s="47"/>
      <c r="AD92" s="47"/>
      <c r="AE92" s="47"/>
      <c r="AF92" s="47"/>
    </row>
    <row r="93" spans="5:32"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  <c r="AA93" s="47"/>
      <c r="AB93" s="47"/>
      <c r="AC93" s="47"/>
      <c r="AD93" s="47"/>
      <c r="AE93" s="47"/>
      <c r="AF93" s="47"/>
    </row>
    <row r="94" spans="5:32"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  <c r="AA94" s="47"/>
      <c r="AB94" s="47"/>
      <c r="AC94" s="47"/>
      <c r="AD94" s="47"/>
      <c r="AE94" s="47"/>
      <c r="AF94" s="47"/>
    </row>
    <row r="95" spans="5:32"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  <c r="AA95" s="47"/>
      <c r="AB95" s="47"/>
      <c r="AC95" s="47"/>
      <c r="AD95" s="47"/>
      <c r="AE95" s="47"/>
      <c r="AF95" s="47"/>
    </row>
    <row r="96" spans="5:32"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  <c r="AA96" s="47"/>
      <c r="AB96" s="47"/>
      <c r="AC96" s="47"/>
      <c r="AD96" s="47"/>
      <c r="AE96" s="47"/>
      <c r="AF96" s="47"/>
    </row>
    <row r="97" spans="5:32"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  <c r="AA97" s="47"/>
      <c r="AB97" s="47"/>
      <c r="AC97" s="47"/>
      <c r="AD97" s="47"/>
      <c r="AE97" s="47"/>
      <c r="AF97" s="47"/>
    </row>
    <row r="98" spans="5:32"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  <c r="AA98" s="47"/>
      <c r="AB98" s="47"/>
      <c r="AC98" s="47"/>
      <c r="AD98" s="47"/>
      <c r="AE98" s="47"/>
      <c r="AF98" s="47"/>
    </row>
    <row r="99" spans="5:32"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  <c r="AA99" s="47"/>
      <c r="AB99" s="47"/>
      <c r="AC99" s="47"/>
      <c r="AD99" s="47"/>
      <c r="AE99" s="47"/>
      <c r="AF99" s="47"/>
    </row>
    <row r="100" spans="5:32"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  <c r="AE100" s="47"/>
      <c r="AF100" s="47"/>
    </row>
    <row r="101" spans="5:32"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  <c r="AA101" s="47"/>
      <c r="AB101" s="47"/>
      <c r="AC101" s="47"/>
      <c r="AD101" s="47"/>
      <c r="AE101" s="47"/>
      <c r="AF101" s="47"/>
    </row>
    <row r="102" spans="5:32"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  <c r="AA102" s="47"/>
      <c r="AB102" s="47"/>
      <c r="AC102" s="47"/>
      <c r="AD102" s="47"/>
      <c r="AE102" s="47"/>
      <c r="AF102" s="47"/>
    </row>
    <row r="103" spans="5:32"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  <c r="AA103" s="47"/>
      <c r="AB103" s="47"/>
      <c r="AC103" s="47"/>
      <c r="AD103" s="47"/>
      <c r="AE103" s="47"/>
      <c r="AF103" s="47"/>
    </row>
    <row r="104" spans="5:32"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  <c r="AA104" s="47"/>
      <c r="AB104" s="47"/>
      <c r="AC104" s="47"/>
      <c r="AD104" s="47"/>
      <c r="AE104" s="47"/>
      <c r="AF104" s="47"/>
    </row>
    <row r="105" spans="5:32"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  <c r="AA105" s="47"/>
      <c r="AB105" s="47"/>
      <c r="AC105" s="47"/>
      <c r="AD105" s="47"/>
      <c r="AE105" s="47"/>
      <c r="AF105" s="47"/>
    </row>
    <row r="106" spans="5:32"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  <c r="AA106" s="47"/>
      <c r="AB106" s="47"/>
      <c r="AC106" s="47"/>
      <c r="AD106" s="47"/>
      <c r="AE106" s="47"/>
      <c r="AF106" s="47"/>
    </row>
    <row r="107" spans="5:32"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  <c r="AA107" s="47"/>
      <c r="AB107" s="47"/>
      <c r="AC107" s="47"/>
      <c r="AD107" s="47"/>
      <c r="AE107" s="47"/>
      <c r="AF107" s="47"/>
    </row>
    <row r="108" spans="5:32"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  <c r="AA108" s="47"/>
      <c r="AB108" s="47"/>
      <c r="AC108" s="47"/>
      <c r="AD108" s="47"/>
      <c r="AE108" s="47"/>
      <c r="AF108" s="47"/>
    </row>
    <row r="109" spans="5:32"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  <c r="AA109" s="47"/>
      <c r="AB109" s="47"/>
      <c r="AC109" s="47"/>
      <c r="AD109" s="47"/>
      <c r="AE109" s="47"/>
      <c r="AF109" s="47"/>
    </row>
    <row r="110" spans="5:32"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  <c r="AA110" s="47"/>
      <c r="AB110" s="47"/>
      <c r="AC110" s="47"/>
      <c r="AD110" s="47"/>
      <c r="AE110" s="47"/>
      <c r="AF110" s="47"/>
    </row>
    <row r="111" spans="5:32"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  <c r="AA111" s="47"/>
      <c r="AB111" s="47"/>
      <c r="AC111" s="47"/>
      <c r="AD111" s="47"/>
      <c r="AE111" s="47"/>
      <c r="AF111" s="47"/>
    </row>
    <row r="112" spans="5:32"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  <c r="AA112" s="47"/>
      <c r="AB112" s="47"/>
      <c r="AC112" s="47"/>
      <c r="AD112" s="47"/>
      <c r="AE112" s="47"/>
      <c r="AF112" s="47"/>
    </row>
    <row r="113" spans="5:32"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  <c r="AA113" s="47"/>
      <c r="AB113" s="47"/>
      <c r="AC113" s="47"/>
      <c r="AD113" s="47"/>
      <c r="AE113" s="47"/>
      <c r="AF113" s="47"/>
    </row>
    <row r="114" spans="5:32"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  <c r="AA114" s="47"/>
      <c r="AB114" s="47"/>
      <c r="AC114" s="47"/>
      <c r="AD114" s="47"/>
      <c r="AE114" s="47"/>
      <c r="AF114" s="47"/>
    </row>
    <row r="115" spans="5:32"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  <c r="AA115" s="47"/>
      <c r="AB115" s="47"/>
      <c r="AC115" s="47"/>
      <c r="AD115" s="47"/>
      <c r="AE115" s="47"/>
      <c r="AF115" s="47"/>
    </row>
    <row r="116" spans="5:32"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  <c r="AA116" s="47"/>
      <c r="AB116" s="47"/>
      <c r="AC116" s="47"/>
      <c r="AD116" s="47"/>
      <c r="AE116" s="47"/>
      <c r="AF116" s="47"/>
    </row>
    <row r="117" spans="5:32"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  <c r="AA117" s="47"/>
      <c r="AB117" s="47"/>
      <c r="AC117" s="47"/>
      <c r="AD117" s="47"/>
      <c r="AE117" s="47"/>
      <c r="AF117" s="47"/>
    </row>
    <row r="118" spans="5:32"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  <c r="AA118" s="47"/>
      <c r="AB118" s="47"/>
      <c r="AC118" s="47"/>
      <c r="AD118" s="47"/>
      <c r="AE118" s="47"/>
      <c r="AF118" s="47"/>
    </row>
    <row r="119" spans="5:32"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  <c r="AA119" s="47"/>
      <c r="AB119" s="47"/>
      <c r="AC119" s="47"/>
      <c r="AD119" s="47"/>
      <c r="AE119" s="47"/>
      <c r="AF119" s="47"/>
    </row>
    <row r="120" spans="5:32"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</row>
    <row r="121" spans="5:32"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</row>
    <row r="122" spans="5:32"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  <c r="AA122" s="47"/>
      <c r="AB122" s="47"/>
      <c r="AC122" s="47"/>
      <c r="AD122" s="47"/>
      <c r="AE122" s="47"/>
      <c r="AF122" s="47"/>
    </row>
    <row r="123" spans="5:32"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</row>
    <row r="124" spans="5:32"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</row>
    <row r="125" spans="5:32"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  <c r="AA125" s="47"/>
      <c r="AB125" s="47"/>
      <c r="AC125" s="47"/>
      <c r="AD125" s="47"/>
      <c r="AE125" s="47"/>
      <c r="AF125" s="47"/>
    </row>
    <row r="126" spans="5:32"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  <c r="AA126" s="47"/>
      <c r="AB126" s="47"/>
      <c r="AC126" s="47"/>
      <c r="AD126" s="47"/>
      <c r="AE126" s="47"/>
      <c r="AF126" s="47"/>
    </row>
    <row r="127" spans="5:32"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7"/>
    </row>
    <row r="128" spans="5:32"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</row>
    <row r="129" spans="5:32"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</row>
    <row r="130" spans="5:32">
      <c r="E130" s="47"/>
      <c r="F130" s="47"/>
      <c r="G130" s="47"/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  <c r="AA130" s="47"/>
      <c r="AB130" s="47"/>
      <c r="AC130" s="47"/>
      <c r="AD130" s="47"/>
      <c r="AE130" s="47"/>
      <c r="AF130" s="47"/>
    </row>
    <row r="131" spans="5:32"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</row>
    <row r="132" spans="5:32">
      <c r="E132" s="47"/>
      <c r="F132" s="47"/>
      <c r="G132" s="47"/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  <c r="AA132" s="47"/>
      <c r="AB132" s="47"/>
      <c r="AC132" s="47"/>
      <c r="AD132" s="47"/>
      <c r="AE132" s="47"/>
      <c r="AF132" s="47"/>
    </row>
    <row r="133" spans="5:32">
      <c r="E133" s="47"/>
      <c r="F133" s="47"/>
      <c r="G133" s="47"/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  <c r="AA133" s="47"/>
      <c r="AB133" s="47"/>
      <c r="AC133" s="47"/>
      <c r="AD133" s="47"/>
      <c r="AE133" s="47"/>
      <c r="AF133" s="47"/>
    </row>
    <row r="134" spans="5:32">
      <c r="E134" s="47"/>
      <c r="F134" s="47"/>
      <c r="G134" s="47"/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  <c r="AA134" s="47"/>
      <c r="AB134" s="47"/>
      <c r="AC134" s="47"/>
      <c r="AD134" s="47"/>
      <c r="AE134" s="47"/>
      <c r="AF134" s="47"/>
    </row>
    <row r="135" spans="5:32">
      <c r="E135" s="47"/>
      <c r="F135" s="47"/>
      <c r="G135" s="47"/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  <c r="AA135" s="47"/>
      <c r="AB135" s="47"/>
      <c r="AC135" s="47"/>
      <c r="AD135" s="47"/>
      <c r="AE135" s="47"/>
      <c r="AF135" s="47"/>
    </row>
    <row r="136" spans="5:32">
      <c r="E136" s="47"/>
      <c r="F136" s="47"/>
      <c r="G136" s="47"/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  <c r="AA136" s="47"/>
      <c r="AB136" s="47"/>
      <c r="AC136" s="47"/>
      <c r="AD136" s="47"/>
      <c r="AE136" s="47"/>
      <c r="AF136" s="47"/>
    </row>
    <row r="137" spans="5:32">
      <c r="E137" s="47"/>
      <c r="F137" s="47"/>
      <c r="G137" s="47"/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7"/>
      <c r="S137" s="47"/>
      <c r="T137" s="47"/>
      <c r="U137" s="47"/>
      <c r="V137" s="47"/>
      <c r="W137" s="47"/>
      <c r="X137" s="47"/>
      <c r="Y137" s="47"/>
      <c r="Z137" s="47"/>
      <c r="AA137" s="47"/>
      <c r="AB137" s="47"/>
      <c r="AC137" s="47"/>
      <c r="AD137" s="47"/>
      <c r="AE137" s="47"/>
      <c r="AF137" s="47"/>
    </row>
    <row r="138" spans="5:32">
      <c r="E138" s="47"/>
      <c r="F138" s="47"/>
      <c r="G138" s="47"/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7"/>
      <c r="S138" s="47"/>
      <c r="T138" s="47"/>
      <c r="U138" s="47"/>
      <c r="V138" s="47"/>
      <c r="W138" s="47"/>
      <c r="X138" s="47"/>
      <c r="Y138" s="47"/>
      <c r="Z138" s="47"/>
      <c r="AA138" s="47"/>
      <c r="AB138" s="47"/>
      <c r="AC138" s="47"/>
      <c r="AD138" s="47"/>
      <c r="AE138" s="47"/>
      <c r="AF138" s="47"/>
    </row>
    <row r="139" spans="5:32"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  <c r="Y139" s="47"/>
      <c r="Z139" s="47"/>
      <c r="AA139" s="47"/>
      <c r="AB139" s="47"/>
      <c r="AC139" s="47"/>
      <c r="AD139" s="47"/>
      <c r="AE139" s="47"/>
      <c r="AF139" s="47"/>
    </row>
    <row r="140" spans="5:32">
      <c r="E140" s="47"/>
      <c r="F140" s="47"/>
      <c r="G140" s="47"/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7"/>
      <c r="S140" s="47"/>
      <c r="T140" s="47"/>
      <c r="U140" s="47"/>
      <c r="V140" s="47"/>
      <c r="W140" s="47"/>
      <c r="X140" s="47"/>
      <c r="Y140" s="47"/>
      <c r="Z140" s="47"/>
      <c r="AA140" s="47"/>
      <c r="AB140" s="47"/>
      <c r="AC140" s="47"/>
      <c r="AD140" s="47"/>
      <c r="AE140" s="47"/>
      <c r="AF140" s="47"/>
    </row>
    <row r="141" spans="5:32">
      <c r="E141" s="47"/>
      <c r="F141" s="47"/>
      <c r="G141" s="47"/>
      <c r="H141" s="47"/>
      <c r="I141" s="47"/>
      <c r="J141" s="47"/>
      <c r="K141" s="47"/>
      <c r="L141" s="47"/>
      <c r="M141" s="47"/>
      <c r="N141" s="47"/>
      <c r="O141" s="47"/>
      <c r="P141" s="47"/>
      <c r="Q141" s="47"/>
      <c r="R141" s="47"/>
      <c r="S141" s="47"/>
      <c r="T141" s="47"/>
      <c r="U141" s="47"/>
      <c r="V141" s="47"/>
      <c r="W141" s="47"/>
      <c r="X141" s="47"/>
      <c r="Y141" s="47"/>
      <c r="Z141" s="47"/>
      <c r="AA141" s="47"/>
      <c r="AB141" s="47"/>
      <c r="AC141" s="47"/>
      <c r="AD141" s="47"/>
      <c r="AE141" s="47"/>
      <c r="AF141" s="47"/>
    </row>
    <row r="142" spans="5:32">
      <c r="E142" s="47"/>
      <c r="F142" s="47"/>
      <c r="G142" s="47"/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</row>
    <row r="143" spans="5:32">
      <c r="E143" s="47"/>
      <c r="F143" s="47"/>
      <c r="G143" s="47"/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7"/>
      <c r="S143" s="47"/>
      <c r="T143" s="47"/>
      <c r="U143" s="47"/>
      <c r="V143" s="47"/>
      <c r="W143" s="47"/>
      <c r="X143" s="47"/>
      <c r="Y143" s="47"/>
      <c r="Z143" s="47"/>
      <c r="AA143" s="47"/>
      <c r="AB143" s="47"/>
      <c r="AC143" s="47"/>
      <c r="AD143" s="47"/>
      <c r="AE143" s="47"/>
      <c r="AF143" s="47"/>
    </row>
    <row r="144" spans="5:32">
      <c r="E144" s="47"/>
      <c r="F144" s="47"/>
      <c r="G144" s="47"/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7"/>
      <c r="S144" s="47"/>
      <c r="T144" s="47"/>
      <c r="U144" s="47"/>
      <c r="V144" s="47"/>
      <c r="W144" s="47"/>
      <c r="X144" s="47"/>
      <c r="Y144" s="47"/>
      <c r="Z144" s="47"/>
      <c r="AA144" s="47"/>
      <c r="AB144" s="47"/>
      <c r="AC144" s="47"/>
      <c r="AD144" s="47"/>
      <c r="AE144" s="47"/>
      <c r="AF144" s="47"/>
    </row>
    <row r="145" spans="5:32">
      <c r="E145" s="47"/>
      <c r="F145" s="47"/>
      <c r="G145" s="47"/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7"/>
      <c r="S145" s="47"/>
      <c r="T145" s="47"/>
      <c r="U145" s="47"/>
      <c r="V145" s="47"/>
      <c r="W145" s="47"/>
      <c r="X145" s="47"/>
      <c r="Y145" s="47"/>
      <c r="Z145" s="47"/>
      <c r="AA145" s="47"/>
      <c r="AB145" s="47"/>
      <c r="AC145" s="47"/>
      <c r="AD145" s="47"/>
      <c r="AE145" s="47"/>
      <c r="AF145" s="47"/>
    </row>
    <row r="146" spans="5:32">
      <c r="E146" s="47"/>
      <c r="F146" s="47"/>
      <c r="G146" s="47"/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7"/>
      <c r="S146" s="47"/>
      <c r="T146" s="47"/>
      <c r="U146" s="47"/>
      <c r="V146" s="47"/>
      <c r="W146" s="47"/>
      <c r="X146" s="47"/>
      <c r="Y146" s="47"/>
      <c r="Z146" s="47"/>
      <c r="AA146" s="47"/>
      <c r="AB146" s="47"/>
      <c r="AC146" s="47"/>
      <c r="AD146" s="47"/>
      <c r="AE146" s="47"/>
      <c r="AF146" s="47"/>
    </row>
    <row r="147" spans="5:32">
      <c r="E147" s="47"/>
      <c r="F147" s="47"/>
      <c r="G147" s="47"/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7"/>
      <c r="S147" s="47"/>
      <c r="T147" s="47"/>
      <c r="U147" s="47"/>
      <c r="V147" s="47"/>
      <c r="W147" s="47"/>
      <c r="X147" s="47"/>
      <c r="Y147" s="47"/>
      <c r="Z147" s="47"/>
      <c r="AA147" s="47"/>
      <c r="AB147" s="47"/>
      <c r="AC147" s="47"/>
      <c r="AD147" s="47"/>
      <c r="AE147" s="47"/>
      <c r="AF147" s="47"/>
    </row>
    <row r="148" spans="5:32">
      <c r="E148" s="47"/>
      <c r="F148" s="47"/>
      <c r="G148" s="47"/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</row>
    <row r="149" spans="5:32">
      <c r="E149" s="47"/>
      <c r="F149" s="47"/>
      <c r="G149" s="47"/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7"/>
      <c r="S149" s="47"/>
      <c r="T149" s="47"/>
      <c r="U149" s="47"/>
      <c r="V149" s="47"/>
      <c r="W149" s="47"/>
      <c r="X149" s="47"/>
      <c r="Y149" s="47"/>
      <c r="Z149" s="47"/>
      <c r="AA149" s="47"/>
      <c r="AB149" s="47"/>
      <c r="AC149" s="47"/>
      <c r="AD149" s="47"/>
      <c r="AE149" s="47"/>
      <c r="AF149" s="47"/>
    </row>
    <row r="150" spans="5:32">
      <c r="E150" s="47"/>
      <c r="F150" s="47"/>
      <c r="G150" s="47"/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7"/>
      <c r="S150" s="47"/>
      <c r="T150" s="47"/>
      <c r="U150" s="47"/>
      <c r="V150" s="47"/>
      <c r="W150" s="47"/>
      <c r="X150" s="47"/>
      <c r="Y150" s="47"/>
      <c r="Z150" s="47"/>
      <c r="AA150" s="47"/>
      <c r="AB150" s="47"/>
      <c r="AC150" s="47"/>
      <c r="AD150" s="47"/>
      <c r="AE150" s="47"/>
      <c r="AF150" s="47"/>
    </row>
    <row r="151" spans="5:32">
      <c r="E151" s="47"/>
      <c r="F151" s="47"/>
      <c r="G151" s="47"/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7"/>
      <c r="S151" s="47"/>
      <c r="T151" s="47"/>
      <c r="U151" s="47"/>
      <c r="V151" s="47"/>
      <c r="W151" s="47"/>
      <c r="X151" s="47"/>
      <c r="Y151" s="47"/>
      <c r="Z151" s="47"/>
      <c r="AA151" s="47"/>
      <c r="AB151" s="47"/>
      <c r="AC151" s="47"/>
      <c r="AD151" s="47"/>
      <c r="AE151" s="47"/>
      <c r="AF151" s="47"/>
    </row>
    <row r="152" spans="5:32">
      <c r="E152" s="47"/>
      <c r="F152" s="47"/>
      <c r="G152" s="47"/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7"/>
      <c r="S152" s="47"/>
      <c r="T152" s="47"/>
      <c r="U152" s="47"/>
      <c r="V152" s="47"/>
      <c r="W152" s="47"/>
      <c r="X152" s="47"/>
      <c r="Y152" s="47"/>
      <c r="Z152" s="47"/>
      <c r="AA152" s="47"/>
      <c r="AB152" s="47"/>
      <c r="AC152" s="47"/>
      <c r="AD152" s="47"/>
      <c r="AE152" s="47"/>
      <c r="AF152" s="47"/>
    </row>
    <row r="153" spans="5:32">
      <c r="E153" s="47"/>
      <c r="F153" s="47"/>
      <c r="G153" s="47"/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7"/>
      <c r="S153" s="47"/>
      <c r="T153" s="47"/>
      <c r="U153" s="47"/>
      <c r="V153" s="47"/>
      <c r="W153" s="47"/>
      <c r="X153" s="47"/>
      <c r="Y153" s="47"/>
      <c r="Z153" s="47"/>
      <c r="AA153" s="47"/>
      <c r="AB153" s="47"/>
      <c r="AC153" s="47"/>
      <c r="AD153" s="47"/>
      <c r="AE153" s="47"/>
      <c r="AF153" s="47"/>
    </row>
    <row r="154" spans="5:32">
      <c r="E154" s="47"/>
      <c r="F154" s="47"/>
      <c r="G154" s="47"/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7"/>
      <c r="S154" s="47"/>
      <c r="T154" s="47"/>
      <c r="U154" s="47"/>
      <c r="V154" s="47"/>
      <c r="W154" s="47"/>
      <c r="X154" s="47"/>
      <c r="Y154" s="47"/>
      <c r="Z154" s="47"/>
      <c r="AA154" s="47"/>
      <c r="AB154" s="47"/>
      <c r="AC154" s="47"/>
      <c r="AD154" s="47"/>
      <c r="AE154" s="47"/>
      <c r="AF154" s="47"/>
    </row>
    <row r="155" spans="5:32">
      <c r="E155" s="47"/>
      <c r="F155" s="47"/>
      <c r="G155" s="47"/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7"/>
      <c r="S155" s="47"/>
      <c r="T155" s="47"/>
      <c r="U155" s="47"/>
      <c r="V155" s="47"/>
      <c r="W155" s="47"/>
      <c r="X155" s="47"/>
      <c r="Y155" s="47"/>
      <c r="Z155" s="47"/>
      <c r="AA155" s="47"/>
      <c r="AB155" s="47"/>
      <c r="AC155" s="47"/>
      <c r="AD155" s="47"/>
      <c r="AE155" s="47"/>
      <c r="AF155" s="47"/>
    </row>
    <row r="156" spans="5:32">
      <c r="E156" s="47"/>
      <c r="F156" s="47"/>
      <c r="G156" s="47"/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7"/>
      <c r="S156" s="47"/>
      <c r="T156" s="47"/>
      <c r="U156" s="47"/>
      <c r="V156" s="47"/>
      <c r="W156" s="47"/>
      <c r="X156" s="47"/>
      <c r="Y156" s="47"/>
      <c r="Z156" s="47"/>
      <c r="AA156" s="47"/>
      <c r="AB156" s="47"/>
      <c r="AC156" s="47"/>
      <c r="AD156" s="47"/>
      <c r="AE156" s="47"/>
      <c r="AF156" s="47"/>
    </row>
    <row r="157" spans="5:32">
      <c r="E157" s="47"/>
      <c r="F157" s="47"/>
      <c r="G157" s="47"/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7"/>
      <c r="S157" s="47"/>
      <c r="T157" s="47"/>
      <c r="U157" s="47"/>
      <c r="V157" s="47"/>
      <c r="W157" s="47"/>
      <c r="X157" s="47"/>
      <c r="Y157" s="47"/>
      <c r="Z157" s="47"/>
      <c r="AA157" s="47"/>
      <c r="AB157" s="47"/>
      <c r="AC157" s="47"/>
      <c r="AD157" s="47"/>
      <c r="AE157" s="47"/>
      <c r="AF157" s="47"/>
    </row>
    <row r="158" spans="5:32">
      <c r="E158" s="47"/>
      <c r="F158" s="47"/>
      <c r="G158" s="47"/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7"/>
      <c r="S158" s="47"/>
      <c r="T158" s="47"/>
      <c r="U158" s="47"/>
      <c r="V158" s="47"/>
      <c r="W158" s="47"/>
      <c r="X158" s="47"/>
      <c r="Y158" s="47"/>
      <c r="Z158" s="47"/>
      <c r="AA158" s="47"/>
      <c r="AB158" s="47"/>
      <c r="AC158" s="47"/>
      <c r="AD158" s="47"/>
      <c r="AE158" s="47"/>
      <c r="AF158" s="47"/>
    </row>
    <row r="159" spans="5:32">
      <c r="E159" s="47"/>
      <c r="F159" s="47"/>
      <c r="G159" s="47"/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7"/>
      <c r="S159" s="47"/>
      <c r="T159" s="47"/>
      <c r="U159" s="47"/>
      <c r="V159" s="47"/>
      <c r="W159" s="47"/>
      <c r="X159" s="47"/>
      <c r="Y159" s="47"/>
      <c r="Z159" s="47"/>
      <c r="AA159" s="47"/>
      <c r="AB159" s="47"/>
      <c r="AC159" s="47"/>
      <c r="AD159" s="47"/>
      <c r="AE159" s="47"/>
      <c r="AF159" s="47"/>
    </row>
    <row r="160" spans="5:32">
      <c r="E160" s="47"/>
      <c r="F160" s="47"/>
      <c r="G160" s="47"/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7"/>
      <c r="S160" s="47"/>
      <c r="T160" s="47"/>
      <c r="U160" s="47"/>
      <c r="V160" s="47"/>
      <c r="W160" s="47"/>
      <c r="X160" s="47"/>
      <c r="Y160" s="47"/>
      <c r="Z160" s="47"/>
      <c r="AA160" s="47"/>
      <c r="AB160" s="47"/>
      <c r="AC160" s="47"/>
      <c r="AD160" s="47"/>
      <c r="AE160" s="47"/>
      <c r="AF160" s="47"/>
    </row>
    <row r="161" spans="5:32">
      <c r="E161" s="47"/>
      <c r="F161" s="47"/>
      <c r="G161" s="47"/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7"/>
      <c r="S161" s="47"/>
      <c r="T161" s="47"/>
      <c r="U161" s="47"/>
      <c r="V161" s="47"/>
      <c r="W161" s="47"/>
      <c r="X161" s="47"/>
      <c r="Y161" s="47"/>
      <c r="Z161" s="47"/>
      <c r="AA161" s="47"/>
      <c r="AB161" s="47"/>
      <c r="AC161" s="47"/>
      <c r="AD161" s="47"/>
      <c r="AE161" s="47"/>
      <c r="AF161" s="47"/>
    </row>
    <row r="162" spans="5:32">
      <c r="E162" s="47"/>
      <c r="F162" s="47"/>
      <c r="G162" s="47"/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7"/>
      <c r="S162" s="47"/>
      <c r="T162" s="47"/>
      <c r="U162" s="47"/>
      <c r="V162" s="47"/>
      <c r="W162" s="47"/>
      <c r="X162" s="47"/>
      <c r="Y162" s="47"/>
      <c r="Z162" s="47"/>
      <c r="AA162" s="47"/>
      <c r="AB162" s="47"/>
      <c r="AC162" s="47"/>
      <c r="AD162" s="47"/>
      <c r="AE162" s="47"/>
      <c r="AF162" s="47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5FA8B-24D8-47B8-8751-B19C5B27AA59}">
  <sheetPr codeName="Feuil5"/>
  <dimension ref="A1:P19"/>
  <sheetViews>
    <sheetView showGridLines="0" topLeftCell="B3" zoomScale="130" zoomScaleNormal="130" workbookViewId="0">
      <selection activeCell="H18" sqref="H18"/>
    </sheetView>
  </sheetViews>
  <sheetFormatPr baseColWidth="10" defaultColWidth="8.89453125" defaultRowHeight="14.4"/>
  <cols>
    <col min="1" max="5" width="8.89453125" style="1"/>
    <col min="6" max="6" width="7.7890625" style="1" customWidth="1"/>
    <col min="7" max="7" width="29.68359375" style="1" customWidth="1"/>
    <col min="8" max="8" width="8.89453125" style="1" customWidth="1"/>
    <col min="9" max="9" width="25" style="1" customWidth="1"/>
    <col min="10" max="10" width="7.7890625" style="1" customWidth="1"/>
    <col min="11" max="16384" width="8.89453125" style="1"/>
  </cols>
  <sheetData>
    <row r="1" spans="1:16" ht="18.600000000000001" customHeigh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</row>
    <row r="2" spans="1:16" ht="15" customHeight="1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6" ht="26.4" customHeight="1">
      <c r="A3" s="5"/>
      <c r="B3" s="5"/>
      <c r="C3" s="5"/>
      <c r="D3" s="5"/>
      <c r="E3" s="5"/>
      <c r="F3" s="2"/>
      <c r="G3" s="9" t="s">
        <v>17</v>
      </c>
      <c r="H3" s="3"/>
      <c r="I3" s="3"/>
      <c r="J3" s="2"/>
      <c r="K3" s="5"/>
      <c r="L3" s="5"/>
      <c r="M3" s="5"/>
      <c r="N3" s="5"/>
      <c r="O3" s="5"/>
      <c r="P3" s="5"/>
    </row>
    <row r="4" spans="1:16" ht="17.399999999999999" customHeight="1">
      <c r="F4" s="2"/>
      <c r="G4" s="52" t="s">
        <v>28</v>
      </c>
      <c r="H4" s="52"/>
      <c r="I4" s="52"/>
      <c r="J4" s="2"/>
    </row>
    <row r="5" spans="1:16" ht="10.199999999999999" customHeight="1">
      <c r="F5" s="2"/>
      <c r="G5" s="2"/>
      <c r="H5" s="3"/>
      <c r="I5" s="3"/>
      <c r="J5" s="2"/>
    </row>
    <row r="6" spans="1:16" ht="16.05" customHeight="1">
      <c r="F6" s="2"/>
      <c r="G6" s="32" t="s">
        <v>31</v>
      </c>
      <c r="H6" s="2"/>
      <c r="I6" s="32" t="s">
        <v>2</v>
      </c>
      <c r="J6" s="2"/>
    </row>
    <row r="7" spans="1:16" ht="22.05" customHeight="1">
      <c r="F7" s="2"/>
      <c r="G7" s="28" t="s">
        <v>55</v>
      </c>
      <c r="H7" s="2"/>
      <c r="I7" s="31">
        <v>45260</v>
      </c>
      <c r="J7" s="2"/>
    </row>
    <row r="8" spans="1:16" ht="16.05" customHeight="1">
      <c r="F8" s="2"/>
      <c r="G8" s="2"/>
      <c r="H8" s="2"/>
      <c r="I8" s="2"/>
      <c r="J8" s="2"/>
    </row>
    <row r="9" spans="1:16" ht="16.05" customHeight="1">
      <c r="F9" s="2"/>
      <c r="G9" s="32" t="s">
        <v>30</v>
      </c>
      <c r="H9" s="2"/>
      <c r="I9" s="32" t="s">
        <v>9</v>
      </c>
      <c r="J9" s="2"/>
    </row>
    <row r="10" spans="1:16" ht="22.05" customHeight="1">
      <c r="F10" s="2"/>
      <c r="G10" s="28" t="str">
        <f>IFERROR(VLOOKUP(G7,listeProduits[],2,FALSE),"")</f>
        <v>Oreo</v>
      </c>
      <c r="H10" s="2"/>
      <c r="I10" s="30">
        <v>2</v>
      </c>
      <c r="J10" s="2"/>
    </row>
    <row r="11" spans="1:16" ht="16.05" customHeight="1">
      <c r="F11" s="2"/>
      <c r="G11" s="2"/>
      <c r="H11" s="2"/>
      <c r="I11" s="2"/>
      <c r="J11" s="2"/>
    </row>
    <row r="12" spans="1:16" ht="16.05" customHeight="1">
      <c r="F12" s="2"/>
      <c r="G12" s="32" t="s">
        <v>29</v>
      </c>
      <c r="H12" s="2"/>
      <c r="I12" s="32" t="s">
        <v>33</v>
      </c>
      <c r="J12" s="2"/>
    </row>
    <row r="13" spans="1:16" ht="22.05" customHeight="1">
      <c r="F13" s="2"/>
      <c r="G13" s="28" t="str">
        <f>IFERROR(VLOOKUP(G7,listeProduits[],3,FALSE),"")</f>
        <v xml:space="preserve">Biscuits </v>
      </c>
      <c r="H13" s="2"/>
      <c r="I13" s="29">
        <v>30</v>
      </c>
      <c r="J13" s="2"/>
    </row>
    <row r="14" spans="1:16" ht="16.05" customHeight="1">
      <c r="F14" s="2"/>
      <c r="G14" s="2"/>
      <c r="H14" s="2"/>
      <c r="I14" s="2"/>
      <c r="J14" s="2"/>
    </row>
    <row r="15" spans="1:16" ht="16.05" customHeight="1">
      <c r="F15" s="2"/>
      <c r="G15" s="32" t="s">
        <v>8</v>
      </c>
      <c r="H15" s="2"/>
      <c r="I15" s="32" t="s">
        <v>6</v>
      </c>
      <c r="J15" s="2"/>
    </row>
    <row r="16" spans="1:16" ht="22.05" customHeight="1">
      <c r="F16" s="2"/>
      <c r="G16" s="28" t="str">
        <f>IFERROR(VLOOKUP(G7,listeProduits[],4,FALSE),"")</f>
        <v>Pack de 10 unités</v>
      </c>
      <c r="H16" s="2"/>
      <c r="I16" s="33">
        <f>I10*I13</f>
        <v>60</v>
      </c>
      <c r="J16" s="2"/>
    </row>
    <row r="17" spans="6:10" ht="16.05" customHeight="1">
      <c r="F17" s="2"/>
      <c r="G17" s="7"/>
      <c r="H17" s="2"/>
      <c r="I17" s="2"/>
      <c r="J17" s="2"/>
    </row>
    <row r="18" spans="6:10" ht="22.2" customHeight="1">
      <c r="F18" s="2"/>
      <c r="G18" s="2"/>
      <c r="H18" s="2"/>
      <c r="I18" s="2"/>
      <c r="J18" s="2"/>
    </row>
    <row r="19" spans="6:10" ht="17.399999999999999" customHeight="1">
      <c r="F19" s="2"/>
      <c r="G19" s="2"/>
      <c r="H19" s="2"/>
      <c r="I19" s="2"/>
      <c r="J19" s="2"/>
    </row>
  </sheetData>
  <mergeCells count="1">
    <mergeCell ref="G4:I4"/>
  </mergeCells>
  <dataValidations count="1">
    <dataValidation type="date" operator="greaterThan" allowBlank="1" showInputMessage="1" showErrorMessage="1" error="Veuillez saisir une date correcte" sqref="I7" xr:uid="{43724A14-38E0-4E71-97D0-093663A523AB}">
      <formula1>44561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BDFC9-46C5-4D9C-81D5-B08E2915CCD3}">
  <sheetPr codeName="Feuil8"/>
  <dimension ref="A1:N31"/>
  <sheetViews>
    <sheetView showGridLines="0" zoomScale="115" zoomScaleNormal="115" workbookViewId="0">
      <selection activeCell="G11" sqref="G11"/>
    </sheetView>
  </sheetViews>
  <sheetFormatPr baseColWidth="10" defaultColWidth="8.89453125" defaultRowHeight="14.4"/>
  <cols>
    <col min="1" max="1" width="11.7890625" style="1" customWidth="1"/>
    <col min="2" max="2" width="7.7890625" style="1" customWidth="1"/>
    <col min="3" max="3" width="15.1015625" style="1" customWidth="1"/>
    <col min="4" max="4" width="31.20703125" style="1" customWidth="1"/>
    <col min="5" max="5" width="20" style="1" customWidth="1"/>
    <col min="6" max="6" width="20.5234375" style="1" customWidth="1"/>
    <col min="7" max="7" width="14.1015625" style="1" customWidth="1"/>
    <col min="8" max="8" width="13.20703125" style="1" customWidth="1"/>
    <col min="9" max="9" width="13" style="1" customWidth="1"/>
    <col min="10" max="10" width="14" style="1" customWidth="1"/>
    <col min="11" max="11" width="7.7890625" style="1" customWidth="1"/>
    <col min="12" max="17" width="11.7890625" style="1" customWidth="1"/>
    <col min="18" max="19" width="9.7890625" style="1" customWidth="1"/>
    <col min="20" max="16384" width="8.89453125" style="1"/>
  </cols>
  <sheetData>
    <row r="1" spans="1:14" ht="22.2" customHeigh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2" spans="1:14" ht="13.8" customHeight="1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</row>
    <row r="3" spans="1:14" ht="26.4" customHeight="1">
      <c r="A3" s="5"/>
      <c r="B3" s="2"/>
      <c r="C3" s="53" t="s">
        <v>42</v>
      </c>
      <c r="D3" s="53"/>
      <c r="E3" s="53"/>
      <c r="F3" s="8"/>
      <c r="G3" s="8"/>
      <c r="H3" s="8"/>
      <c r="I3" s="8"/>
      <c r="J3" s="3"/>
      <c r="K3" s="2"/>
      <c r="L3" s="5"/>
      <c r="M3" s="5"/>
      <c r="N3" s="5"/>
    </row>
    <row r="4" spans="1:14" ht="15" customHeight="1">
      <c r="B4" s="2"/>
      <c r="C4" s="52" t="s">
        <v>48</v>
      </c>
      <c r="D4" s="52"/>
      <c r="E4" s="11"/>
      <c r="F4" s="11"/>
      <c r="G4" s="11"/>
      <c r="H4" s="11"/>
      <c r="I4" s="11"/>
      <c r="J4" s="11"/>
      <c r="K4" s="2"/>
      <c r="L4" s="5"/>
      <c r="M4" s="5"/>
      <c r="N4" s="5"/>
    </row>
    <row r="5" spans="1:14" ht="14.7" thickBot="1">
      <c r="B5" s="2"/>
      <c r="C5" s="2"/>
      <c r="D5" s="2"/>
      <c r="E5" s="2"/>
      <c r="F5" s="2"/>
      <c r="G5" s="2"/>
      <c r="H5" s="2"/>
      <c r="I5" s="2"/>
      <c r="J5" s="3"/>
      <c r="K5" s="2"/>
    </row>
    <row r="6" spans="1:14" ht="18" customHeight="1" thickTop="1" thickBot="1">
      <c r="B6" s="2"/>
      <c r="C6" s="25" t="s">
        <v>14</v>
      </c>
      <c r="D6" s="42"/>
      <c r="E6" s="27" t="s">
        <v>25</v>
      </c>
      <c r="F6" s="42">
        <v>0</v>
      </c>
      <c r="G6" s="2"/>
      <c r="H6" s="2"/>
      <c r="I6" s="2"/>
      <c r="J6" s="2"/>
      <c r="K6" s="2"/>
    </row>
    <row r="7" spans="1:14" ht="18" customHeight="1" thickTop="1" thickBot="1">
      <c r="B7" s="2"/>
      <c r="C7" s="26" t="s">
        <v>0</v>
      </c>
      <c r="D7" s="42"/>
      <c r="E7" s="25" t="s">
        <v>26</v>
      </c>
      <c r="F7" s="42">
        <v>0</v>
      </c>
      <c r="G7" s="2"/>
      <c r="H7" s="2"/>
      <c r="I7" s="2"/>
      <c r="J7" s="2"/>
      <c r="K7" s="2"/>
    </row>
    <row r="8" spans="1:14" ht="18" customHeight="1" thickTop="1" thickBot="1">
      <c r="B8" s="2"/>
      <c r="C8" s="26" t="s">
        <v>15</v>
      </c>
      <c r="D8" s="42"/>
      <c r="E8" s="25" t="s">
        <v>27</v>
      </c>
      <c r="F8" s="44">
        <v>0</v>
      </c>
      <c r="G8" s="2"/>
      <c r="H8" s="2"/>
      <c r="I8" s="2"/>
      <c r="J8" s="2"/>
      <c r="K8" s="2"/>
    </row>
    <row r="9" spans="1:14" ht="18" customHeight="1" thickTop="1" thickBot="1">
      <c r="B9" s="2"/>
      <c r="C9" s="26" t="s">
        <v>24</v>
      </c>
      <c r="D9" s="42"/>
      <c r="E9" s="25" t="s">
        <v>23</v>
      </c>
      <c r="F9" s="43">
        <f>F7*F8</f>
        <v>0</v>
      </c>
      <c r="G9" s="2"/>
      <c r="H9" s="2"/>
      <c r="I9" s="2"/>
      <c r="J9" s="2"/>
      <c r="K9" s="2"/>
    </row>
    <row r="10" spans="1:14" ht="18" customHeight="1" thickTop="1"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4" ht="10.8" customHeight="1">
      <c r="B11" s="2"/>
      <c r="C11" s="2"/>
      <c r="D11" s="2"/>
      <c r="E11" s="2"/>
      <c r="F11" s="2"/>
      <c r="G11" s="2"/>
      <c r="H11" s="2"/>
      <c r="I11" s="2"/>
      <c r="J11" s="2"/>
      <c r="K11" s="2"/>
    </row>
    <row r="12" spans="1:14" ht="18" customHeight="1">
      <c r="B12" s="2"/>
      <c r="C12" s="53" t="s">
        <v>43</v>
      </c>
      <c r="D12" s="53"/>
      <c r="E12" s="53"/>
      <c r="F12" s="2"/>
      <c r="G12" s="2"/>
      <c r="H12" s="2"/>
      <c r="I12" s="2"/>
      <c r="J12" s="2"/>
      <c r="K12" s="2"/>
    </row>
    <row r="13" spans="1:14" ht="6" customHeight="1">
      <c r="B13" s="2"/>
      <c r="C13" s="9"/>
      <c r="D13" s="9"/>
      <c r="E13" s="9"/>
      <c r="F13" s="2"/>
      <c r="G13" s="2"/>
      <c r="H13" s="2"/>
      <c r="I13" s="2"/>
      <c r="J13" s="2"/>
      <c r="K13" s="2"/>
    </row>
    <row r="14" spans="1:14" ht="18" customHeight="1">
      <c r="A14" s="6"/>
      <c r="B14" s="2"/>
      <c r="C14" s="10" t="s">
        <v>14</v>
      </c>
      <c r="D14" s="10" t="s">
        <v>0</v>
      </c>
      <c r="E14" s="10" t="s">
        <v>15</v>
      </c>
      <c r="F14" s="10" t="s">
        <v>8</v>
      </c>
      <c r="G14" s="10" t="s">
        <v>3</v>
      </c>
      <c r="H14" s="10" t="s">
        <v>10</v>
      </c>
      <c r="I14" s="10" t="s">
        <v>9</v>
      </c>
      <c r="J14" s="10" t="s">
        <v>6</v>
      </c>
      <c r="K14" s="2"/>
    </row>
    <row r="15" spans="1:14" ht="18" customHeight="1">
      <c r="A15" s="6"/>
      <c r="B15" s="2"/>
      <c r="C15" s="35" t="s">
        <v>53</v>
      </c>
      <c r="D15" s="35" t="s">
        <v>66</v>
      </c>
      <c r="E15" s="35" t="s">
        <v>58</v>
      </c>
      <c r="F15" s="12" t="s">
        <v>32</v>
      </c>
      <c r="G15" s="14">
        <v>10</v>
      </c>
      <c r="H15" s="14">
        <v>3</v>
      </c>
      <c r="I15" s="41">
        <v>1400</v>
      </c>
      <c r="J15" s="41">
        <f>listeProduits[[#This Row],[Stock initial]]*listeProduits[[#This Row],[Prix unitaire]]</f>
        <v>4200</v>
      </c>
      <c r="K15" s="2"/>
    </row>
    <row r="16" spans="1:14" ht="18" customHeight="1">
      <c r="A16" s="6"/>
      <c r="B16" s="2"/>
      <c r="C16" s="35" t="s">
        <v>36</v>
      </c>
      <c r="D16" s="35" t="s">
        <v>50</v>
      </c>
      <c r="E16" s="35" t="s">
        <v>59</v>
      </c>
      <c r="F16" s="12" t="s">
        <v>32</v>
      </c>
      <c r="G16" s="14">
        <v>10</v>
      </c>
      <c r="H16" s="14">
        <v>6</v>
      </c>
      <c r="I16" s="41">
        <v>400</v>
      </c>
      <c r="J16" s="41">
        <f>listeProduits[[#This Row],[Stock initial]]*listeProduits[[#This Row],[Prix unitaire]]</f>
        <v>2400</v>
      </c>
      <c r="K16" s="2"/>
    </row>
    <row r="17" spans="1:11" ht="18" customHeight="1">
      <c r="A17" s="6"/>
      <c r="B17" s="2"/>
      <c r="C17" s="35" t="s">
        <v>35</v>
      </c>
      <c r="D17" s="35" t="s">
        <v>49</v>
      </c>
      <c r="E17" s="35" t="s">
        <v>59</v>
      </c>
      <c r="F17" s="12" t="s">
        <v>32</v>
      </c>
      <c r="G17" s="14">
        <v>10</v>
      </c>
      <c r="H17" s="14">
        <v>3</v>
      </c>
      <c r="I17" s="41">
        <v>750</v>
      </c>
      <c r="J17" s="41">
        <f>listeProduits[[#This Row],[Stock initial]]*listeProduits[[#This Row],[Prix unitaire]]</f>
        <v>2250</v>
      </c>
      <c r="K17" s="2"/>
    </row>
    <row r="18" spans="1:11" ht="18" customHeight="1">
      <c r="A18" s="6"/>
      <c r="B18" s="2"/>
      <c r="C18" s="35" t="s">
        <v>41</v>
      </c>
      <c r="D18" s="35" t="s">
        <v>61</v>
      </c>
      <c r="E18" s="35" t="s">
        <v>60</v>
      </c>
      <c r="F18" s="12" t="s">
        <v>32</v>
      </c>
      <c r="G18" s="14">
        <v>10</v>
      </c>
      <c r="H18" s="14">
        <v>0</v>
      </c>
      <c r="I18" s="41">
        <v>0</v>
      </c>
      <c r="J18" s="41">
        <f>listeProduits[[#This Row],[Stock initial]]*listeProduits[[#This Row],[Prix unitaire]]</f>
        <v>0</v>
      </c>
      <c r="K18" s="2"/>
    </row>
    <row r="19" spans="1:11" ht="18" customHeight="1">
      <c r="A19" s="6"/>
      <c r="B19" s="2"/>
      <c r="C19" s="35" t="s">
        <v>40</v>
      </c>
      <c r="D19" s="35" t="s">
        <v>62</v>
      </c>
      <c r="E19" s="35" t="s">
        <v>60</v>
      </c>
      <c r="F19" s="12" t="s">
        <v>32</v>
      </c>
      <c r="G19" s="14">
        <v>10</v>
      </c>
      <c r="H19" s="14">
        <v>6</v>
      </c>
      <c r="I19" s="41">
        <v>150</v>
      </c>
      <c r="J19" s="41">
        <f>listeProduits[[#This Row],[Stock initial]]*listeProduits[[#This Row],[Prix unitaire]]</f>
        <v>900</v>
      </c>
      <c r="K19" s="2"/>
    </row>
    <row r="20" spans="1:11" ht="18" customHeight="1">
      <c r="A20" s="6"/>
      <c r="B20" s="2"/>
      <c r="C20" s="35" t="s">
        <v>39</v>
      </c>
      <c r="D20" s="35" t="s">
        <v>63</v>
      </c>
      <c r="E20" s="35" t="s">
        <v>60</v>
      </c>
      <c r="F20" s="12" t="s">
        <v>32</v>
      </c>
      <c r="G20" s="14">
        <v>10</v>
      </c>
      <c r="H20" s="14">
        <v>3</v>
      </c>
      <c r="I20" s="41">
        <v>300</v>
      </c>
      <c r="J20" s="41">
        <f>listeProduits[[#This Row],[Stock initial]]*listeProduits[[#This Row],[Prix unitaire]]</f>
        <v>900</v>
      </c>
      <c r="K20" s="2"/>
    </row>
    <row r="21" spans="1:11" ht="18" customHeight="1">
      <c r="A21" s="6"/>
      <c r="B21" s="2"/>
      <c r="C21" s="35" t="s">
        <v>38</v>
      </c>
      <c r="D21" s="35" t="s">
        <v>64</v>
      </c>
      <c r="E21" s="35" t="s">
        <v>60</v>
      </c>
      <c r="F21" s="12" t="s">
        <v>32</v>
      </c>
      <c r="G21" s="14">
        <v>10</v>
      </c>
      <c r="H21" s="14">
        <v>5</v>
      </c>
      <c r="I21" s="41">
        <v>700</v>
      </c>
      <c r="J21" s="41">
        <f>listeProduits[[#This Row],[Stock initial]]*listeProduits[[#This Row],[Prix unitaire]]</f>
        <v>3500</v>
      </c>
      <c r="K21" s="2"/>
    </row>
    <row r="22" spans="1:11" ht="18" customHeight="1">
      <c r="A22" s="6"/>
      <c r="B22" s="2"/>
      <c r="C22" s="12" t="s">
        <v>52</v>
      </c>
      <c r="D22" s="12" t="s">
        <v>51</v>
      </c>
      <c r="E22" s="12" t="s">
        <v>58</v>
      </c>
      <c r="F22" s="12" t="s">
        <v>32</v>
      </c>
      <c r="G22" s="14">
        <v>10</v>
      </c>
      <c r="H22" s="14">
        <v>20</v>
      </c>
      <c r="I22" s="13">
        <v>600</v>
      </c>
      <c r="J22" s="13">
        <f>listeProduits[[#This Row],[Stock initial]]*listeProduits[[#This Row],[Prix unitaire]]</f>
        <v>12000</v>
      </c>
      <c r="K22" s="2"/>
    </row>
    <row r="23" spans="1:11" ht="18" customHeight="1">
      <c r="A23" s="6"/>
      <c r="B23" s="2"/>
      <c r="C23" s="12" t="s">
        <v>54</v>
      </c>
      <c r="D23" s="12" t="s">
        <v>18</v>
      </c>
      <c r="E23" s="12" t="s">
        <v>19</v>
      </c>
      <c r="F23" s="12" t="s">
        <v>20</v>
      </c>
      <c r="G23" s="14">
        <v>10</v>
      </c>
      <c r="H23" s="14">
        <v>10</v>
      </c>
      <c r="I23" s="13">
        <v>0.2</v>
      </c>
      <c r="J23" s="13">
        <f>listeProduits[[#This Row],[Stock initial]]*listeProduits[[#This Row],[Prix unitaire]]</f>
        <v>2</v>
      </c>
      <c r="K23" s="2"/>
    </row>
    <row r="24" spans="1:11" ht="18" customHeight="1">
      <c r="A24" s="6"/>
      <c r="B24" s="2"/>
      <c r="C24" s="12" t="s">
        <v>55</v>
      </c>
      <c r="D24" s="12" t="s">
        <v>18</v>
      </c>
      <c r="E24" s="12" t="s">
        <v>19</v>
      </c>
      <c r="F24" s="12" t="s">
        <v>21</v>
      </c>
      <c r="G24" s="14">
        <v>50</v>
      </c>
      <c r="H24" s="14">
        <v>15</v>
      </c>
      <c r="I24" s="13">
        <v>2</v>
      </c>
      <c r="J24" s="13">
        <f>listeProduits[[#This Row],[Stock initial]]*listeProduits[[#This Row],[Prix unitaire]]</f>
        <v>30</v>
      </c>
      <c r="K24" s="2"/>
    </row>
    <row r="25" spans="1:11" ht="18" customHeight="1">
      <c r="B25" s="2"/>
      <c r="C25" s="12" t="s">
        <v>56</v>
      </c>
      <c r="D25" s="12" t="s">
        <v>18</v>
      </c>
      <c r="E25" s="12" t="s">
        <v>19</v>
      </c>
      <c r="F25" s="12" t="s">
        <v>22</v>
      </c>
      <c r="G25" s="14">
        <v>20</v>
      </c>
      <c r="H25" s="14">
        <v>5</v>
      </c>
      <c r="I25" s="13">
        <v>4</v>
      </c>
      <c r="J25" s="13">
        <f>listeProduits[[#This Row],[Stock initial]]*listeProduits[[#This Row],[Prix unitaire]]</f>
        <v>20</v>
      </c>
      <c r="K25" s="2"/>
    </row>
    <row r="26" spans="1:11" ht="18" customHeight="1">
      <c r="B26" s="2"/>
      <c r="C26" s="2"/>
      <c r="D26" s="2"/>
      <c r="E26" s="2"/>
      <c r="F26" s="2"/>
      <c r="G26" s="2"/>
      <c r="H26" s="2"/>
      <c r="I26" s="2"/>
      <c r="J26" s="2"/>
    </row>
    <row r="27" spans="1:11" ht="18" customHeight="1">
      <c r="B27" s="2"/>
      <c r="C27" s="2"/>
      <c r="D27" s="2"/>
      <c r="E27" s="2"/>
      <c r="F27" s="2"/>
      <c r="G27" s="2"/>
      <c r="H27" s="2"/>
      <c r="I27" s="2"/>
      <c r="J27" s="2"/>
    </row>
    <row r="28" spans="1:11" ht="18" customHeight="1"/>
    <row r="29" spans="1:11" ht="19.95" customHeight="1"/>
    <row r="31" spans="1:11">
      <c r="E31" s="45"/>
    </row>
  </sheetData>
  <mergeCells count="3">
    <mergeCell ref="C3:E3"/>
    <mergeCell ref="C4:D4"/>
    <mergeCell ref="C12:E12"/>
  </mergeCells>
  <phoneticPr fontId="14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99D3A-FCC7-40CC-866F-7A34F021AA1E}">
  <sheetPr codeName="Feuil10"/>
  <dimension ref="A1:P67"/>
  <sheetViews>
    <sheetView topLeftCell="A7" zoomScale="115" zoomScaleNormal="115" workbookViewId="0">
      <selection activeCell="E63" sqref="E7:E63"/>
    </sheetView>
  </sheetViews>
  <sheetFormatPr baseColWidth="10" defaultColWidth="8.89453125" defaultRowHeight="14.4"/>
  <cols>
    <col min="1" max="1" width="8.1015625" style="1" customWidth="1"/>
    <col min="2" max="2" width="8.7890625" style="1" customWidth="1"/>
    <col min="3" max="3" width="9.41796875" style="1" customWidth="1"/>
    <col min="4" max="4" width="12.68359375" style="1" customWidth="1"/>
    <col min="5" max="5" width="11.5234375" style="1" customWidth="1"/>
    <col min="6" max="6" width="28.20703125" style="1" customWidth="1"/>
    <col min="7" max="7" width="19.89453125" style="1" customWidth="1"/>
    <col min="8" max="8" width="17.89453125" style="1" customWidth="1"/>
    <col min="9" max="9" width="14" style="1" customWidth="1"/>
    <col min="10" max="10" width="10.5234375" style="40" customWidth="1"/>
    <col min="11" max="11" width="21.3125" style="1" customWidth="1"/>
    <col min="12" max="12" width="8.7890625" style="1" customWidth="1"/>
    <col min="13" max="24" width="12.7890625" style="1" customWidth="1"/>
    <col min="25" max="16384" width="8.89453125" style="1"/>
  </cols>
  <sheetData>
    <row r="1" spans="1:16" ht="22.2" customHeight="1">
      <c r="A1" s="4"/>
      <c r="B1" s="4"/>
      <c r="C1" s="4"/>
      <c r="D1" s="4"/>
      <c r="E1" s="4"/>
      <c r="F1" s="4"/>
      <c r="G1" s="4"/>
      <c r="H1" s="4"/>
      <c r="I1" s="4"/>
      <c r="J1" s="38"/>
      <c r="K1" s="4"/>
      <c r="L1" s="4"/>
      <c r="M1" s="4"/>
      <c r="N1" s="4"/>
      <c r="O1" s="4"/>
      <c r="P1" s="4"/>
    </row>
    <row r="2" spans="1:16" ht="13.8" customHeight="1">
      <c r="A2" s="4"/>
      <c r="B2" s="4"/>
      <c r="C2" s="4"/>
      <c r="D2" s="4"/>
      <c r="E2" s="4"/>
      <c r="F2" s="4"/>
      <c r="G2" s="4"/>
      <c r="H2" s="4"/>
      <c r="I2" s="4"/>
      <c r="J2" s="38"/>
      <c r="K2" s="4"/>
      <c r="L2" s="4"/>
      <c r="M2" s="4"/>
      <c r="N2" s="4"/>
      <c r="O2" s="4"/>
      <c r="P2" s="4"/>
    </row>
    <row r="3" spans="1:16" ht="26.4" customHeight="1">
      <c r="A3" s="5"/>
      <c r="B3" s="2"/>
      <c r="C3" s="53" t="s">
        <v>44</v>
      </c>
      <c r="D3" s="53"/>
      <c r="E3" s="53"/>
      <c r="F3" s="53"/>
      <c r="G3" s="53"/>
      <c r="H3" s="53"/>
      <c r="I3" s="53"/>
      <c r="J3" s="53"/>
      <c r="K3" s="53"/>
      <c r="L3" s="3"/>
      <c r="M3" s="5"/>
      <c r="N3" s="5"/>
      <c r="O3" s="5"/>
      <c r="P3" s="5"/>
    </row>
    <row r="4" spans="1:16" ht="16.8" customHeight="1">
      <c r="A4" s="5"/>
      <c r="B4" s="2"/>
      <c r="C4" s="52" t="s">
        <v>47</v>
      </c>
      <c r="D4" s="52"/>
      <c r="E4" s="52"/>
      <c r="F4" s="52"/>
      <c r="G4" s="52"/>
      <c r="H4" s="52"/>
      <c r="I4" s="52"/>
      <c r="J4" s="52"/>
      <c r="K4" s="11"/>
      <c r="L4" s="11"/>
      <c r="M4" s="5"/>
      <c r="N4" s="5"/>
      <c r="O4" s="5"/>
      <c r="P4" s="5"/>
    </row>
    <row r="5" spans="1:16">
      <c r="B5" s="2"/>
      <c r="C5" s="2"/>
      <c r="D5" s="2"/>
      <c r="E5" s="2"/>
      <c r="F5" s="2"/>
      <c r="G5" s="2"/>
      <c r="H5" s="2"/>
      <c r="I5" s="2"/>
      <c r="J5" s="39"/>
      <c r="K5" s="2"/>
      <c r="L5" s="3"/>
    </row>
    <row r="6" spans="1:16" ht="18" customHeight="1">
      <c r="A6" s="6"/>
      <c r="B6" s="2"/>
      <c r="C6" s="10" t="s">
        <v>7</v>
      </c>
      <c r="D6" s="10" t="s">
        <v>2</v>
      </c>
      <c r="E6" s="10" t="s">
        <v>14</v>
      </c>
      <c r="F6" s="10" t="s">
        <v>0</v>
      </c>
      <c r="G6" s="10" t="s">
        <v>15</v>
      </c>
      <c r="H6" s="10" t="s">
        <v>8</v>
      </c>
      <c r="I6" s="10" t="s">
        <v>57</v>
      </c>
      <c r="J6" s="10" t="s">
        <v>1</v>
      </c>
      <c r="K6" s="10" t="s">
        <v>6</v>
      </c>
      <c r="L6" s="2"/>
    </row>
    <row r="7" spans="1:16" ht="18" customHeight="1">
      <c r="A7" s="6"/>
      <c r="B7" s="2"/>
      <c r="C7" s="14">
        <f>C8+1</f>
        <v>57</v>
      </c>
      <c r="D7" s="15">
        <v>44698</v>
      </c>
      <c r="E7" s="35" t="s">
        <v>55</v>
      </c>
      <c r="F7" s="35" t="s">
        <v>18</v>
      </c>
      <c r="G7" s="35" t="s">
        <v>19</v>
      </c>
      <c r="H7" s="35" t="s">
        <v>21</v>
      </c>
      <c r="I7" s="36">
        <v>2</v>
      </c>
      <c r="J7" s="37">
        <v>25</v>
      </c>
      <c r="K7" s="41">
        <f>listeAchats[[#This Row],[Coût d''achat]]*listeAchats[[#This Row],[Quantité]]</f>
        <v>50</v>
      </c>
      <c r="L7" s="2"/>
    </row>
    <row r="8" spans="1:16" ht="18" customHeight="1">
      <c r="A8" s="6"/>
      <c r="B8" s="2"/>
      <c r="C8" s="14">
        <f>C9+1</f>
        <v>56</v>
      </c>
      <c r="D8" s="15">
        <v>44698</v>
      </c>
      <c r="E8" s="35" t="s">
        <v>38</v>
      </c>
      <c r="F8" s="35" t="s">
        <v>64</v>
      </c>
      <c r="G8" s="35" t="s">
        <v>60</v>
      </c>
      <c r="H8" s="35" t="s">
        <v>32</v>
      </c>
      <c r="I8" s="36">
        <v>700</v>
      </c>
      <c r="J8" s="37">
        <v>5</v>
      </c>
      <c r="K8" s="41">
        <f>listeAchats[[#This Row],[Coût d''achat]]*listeAchats[[#This Row],[Quantité]]</f>
        <v>3500</v>
      </c>
      <c r="L8" s="2"/>
    </row>
    <row r="9" spans="1:16" ht="18" customHeight="1">
      <c r="A9" s="6"/>
      <c r="B9" s="2"/>
      <c r="C9" s="14">
        <f t="shared" ref="C9:C40" si="0">C10+1</f>
        <v>55</v>
      </c>
      <c r="D9" s="15">
        <v>44686</v>
      </c>
      <c r="E9" s="35" t="s">
        <v>41</v>
      </c>
      <c r="F9" s="35" t="s">
        <v>61</v>
      </c>
      <c r="G9" s="35" t="s">
        <v>60</v>
      </c>
      <c r="H9" s="35" t="s">
        <v>32</v>
      </c>
      <c r="I9" s="36">
        <v>500</v>
      </c>
      <c r="J9" s="37">
        <v>10</v>
      </c>
      <c r="K9" s="41">
        <f>listeAchats[[#This Row],[Coût d''achat]]*listeAchats[[#This Row],[Quantité]]</f>
        <v>5000</v>
      </c>
      <c r="L9" s="2"/>
    </row>
    <row r="10" spans="1:16" ht="18" customHeight="1">
      <c r="A10" s="6"/>
      <c r="B10" s="2"/>
      <c r="C10" s="14">
        <f t="shared" si="0"/>
        <v>54</v>
      </c>
      <c r="D10" s="15">
        <v>44656</v>
      </c>
      <c r="E10" s="35" t="s">
        <v>41</v>
      </c>
      <c r="F10" s="35" t="s">
        <v>61</v>
      </c>
      <c r="G10" s="35" t="s">
        <v>60</v>
      </c>
      <c r="H10" s="35" t="s">
        <v>32</v>
      </c>
      <c r="I10" s="36">
        <v>500</v>
      </c>
      <c r="J10" s="37">
        <v>10</v>
      </c>
      <c r="K10" s="41">
        <f>listeAchats[[#This Row],[Coût d''achat]]*listeAchats[[#This Row],[Quantité]]</f>
        <v>5000</v>
      </c>
      <c r="L10" s="2"/>
    </row>
    <row r="11" spans="1:16" ht="18" customHeight="1">
      <c r="A11" s="6"/>
      <c r="B11" s="2"/>
      <c r="C11" s="14">
        <f t="shared" si="0"/>
        <v>53</v>
      </c>
      <c r="D11" s="15">
        <v>44623</v>
      </c>
      <c r="E11" s="35" t="s">
        <v>41</v>
      </c>
      <c r="F11" s="35" t="s">
        <v>61</v>
      </c>
      <c r="G11" s="35" t="s">
        <v>60</v>
      </c>
      <c r="H11" s="35" t="s">
        <v>32</v>
      </c>
      <c r="I11" s="36">
        <v>500</v>
      </c>
      <c r="J11" s="37">
        <v>10</v>
      </c>
      <c r="K11" s="41">
        <f>listeAchats[[#This Row],[Coût d''achat]]*listeAchats[[#This Row],[Quantité]]</f>
        <v>5000</v>
      </c>
      <c r="L11" s="2"/>
    </row>
    <row r="12" spans="1:16" ht="18" customHeight="1">
      <c r="A12" s="6"/>
      <c r="B12" s="2"/>
      <c r="C12" s="14">
        <f t="shared" si="0"/>
        <v>52</v>
      </c>
      <c r="D12" s="15">
        <v>44595</v>
      </c>
      <c r="E12" s="35" t="s">
        <v>41</v>
      </c>
      <c r="F12" s="35" t="s">
        <v>61</v>
      </c>
      <c r="G12" s="35" t="s">
        <v>60</v>
      </c>
      <c r="H12" s="35" t="s">
        <v>32</v>
      </c>
      <c r="I12" s="36">
        <v>500</v>
      </c>
      <c r="J12" s="37">
        <v>10</v>
      </c>
      <c r="K12" s="41">
        <f>listeAchats[[#This Row],[Coût d''achat]]*listeAchats[[#This Row],[Quantité]]</f>
        <v>5000</v>
      </c>
      <c r="L12" s="2"/>
    </row>
    <row r="13" spans="1:16" ht="18" customHeight="1">
      <c r="A13" s="6"/>
      <c r="B13" s="2"/>
      <c r="C13" s="14">
        <f t="shared" si="0"/>
        <v>51</v>
      </c>
      <c r="D13" s="15">
        <v>44581</v>
      </c>
      <c r="E13" s="35" t="s">
        <v>41</v>
      </c>
      <c r="F13" s="35" t="s">
        <v>61</v>
      </c>
      <c r="G13" s="35" t="s">
        <v>60</v>
      </c>
      <c r="H13" s="35" t="s">
        <v>32</v>
      </c>
      <c r="I13" s="36">
        <v>500</v>
      </c>
      <c r="J13" s="37">
        <v>20</v>
      </c>
      <c r="K13" s="41">
        <f>listeAchats[[#This Row],[Coût d''achat]]*listeAchats[[#This Row],[Quantité]]</f>
        <v>10000</v>
      </c>
      <c r="L13" s="2"/>
    </row>
    <row r="14" spans="1:16" ht="18" customHeight="1">
      <c r="A14" s="6"/>
      <c r="B14" s="2"/>
      <c r="C14" s="14">
        <f t="shared" si="0"/>
        <v>50</v>
      </c>
      <c r="D14" s="15">
        <v>44685</v>
      </c>
      <c r="E14" s="35" t="s">
        <v>40</v>
      </c>
      <c r="F14" s="35" t="s">
        <v>62</v>
      </c>
      <c r="G14" s="35" t="s">
        <v>60</v>
      </c>
      <c r="H14" s="35" t="s">
        <v>32</v>
      </c>
      <c r="I14" s="36">
        <v>150</v>
      </c>
      <c r="J14" s="37">
        <v>5</v>
      </c>
      <c r="K14" s="41">
        <f>listeAchats[[#This Row],[Coût d''achat]]*listeAchats[[#This Row],[Quantité]]</f>
        <v>750</v>
      </c>
      <c r="L14" s="2"/>
    </row>
    <row r="15" spans="1:16" ht="18" customHeight="1">
      <c r="A15" s="6"/>
      <c r="B15" s="2"/>
      <c r="C15" s="14">
        <f t="shared" si="0"/>
        <v>49</v>
      </c>
      <c r="D15" s="15">
        <v>44655</v>
      </c>
      <c r="E15" s="35" t="s">
        <v>40</v>
      </c>
      <c r="F15" s="35" t="s">
        <v>62</v>
      </c>
      <c r="G15" s="35" t="s">
        <v>60</v>
      </c>
      <c r="H15" s="35" t="s">
        <v>32</v>
      </c>
      <c r="I15" s="36">
        <v>150</v>
      </c>
      <c r="J15" s="37">
        <v>10</v>
      </c>
      <c r="K15" s="41">
        <f>listeAchats[[#This Row],[Coût d''achat]]*listeAchats[[#This Row],[Quantité]]</f>
        <v>1500</v>
      </c>
      <c r="L15" s="2"/>
    </row>
    <row r="16" spans="1:16" ht="18" customHeight="1">
      <c r="A16" s="6"/>
      <c r="B16" s="2"/>
      <c r="C16" s="14">
        <f t="shared" si="0"/>
        <v>48</v>
      </c>
      <c r="D16" s="15">
        <v>44623</v>
      </c>
      <c r="E16" s="35" t="s">
        <v>40</v>
      </c>
      <c r="F16" s="35" t="s">
        <v>62</v>
      </c>
      <c r="G16" s="35" t="s">
        <v>60</v>
      </c>
      <c r="H16" s="35" t="s">
        <v>32</v>
      </c>
      <c r="I16" s="36">
        <v>150</v>
      </c>
      <c r="J16" s="37">
        <v>20</v>
      </c>
      <c r="K16" s="41">
        <f>listeAchats[[#This Row],[Coût d''achat]]*listeAchats[[#This Row],[Quantité]]</f>
        <v>3000</v>
      </c>
      <c r="L16" s="2"/>
    </row>
    <row r="17" spans="1:12" ht="18" customHeight="1">
      <c r="A17" s="6"/>
      <c r="B17" s="2"/>
      <c r="C17" s="14">
        <f t="shared" si="0"/>
        <v>47</v>
      </c>
      <c r="D17" s="15">
        <v>44594</v>
      </c>
      <c r="E17" s="35" t="s">
        <v>40</v>
      </c>
      <c r="F17" s="35" t="s">
        <v>62</v>
      </c>
      <c r="G17" s="35" t="s">
        <v>60</v>
      </c>
      <c r="H17" s="35" t="s">
        <v>32</v>
      </c>
      <c r="I17" s="36">
        <v>150</v>
      </c>
      <c r="J17" s="37">
        <v>10</v>
      </c>
      <c r="K17" s="41">
        <f>listeAchats[[#This Row],[Coût d''achat]]*listeAchats[[#This Row],[Quantité]]</f>
        <v>1500</v>
      </c>
      <c r="L17" s="2"/>
    </row>
    <row r="18" spans="1:12" ht="18" customHeight="1">
      <c r="A18" s="6"/>
      <c r="B18" s="2"/>
      <c r="C18" s="14">
        <f t="shared" si="0"/>
        <v>46</v>
      </c>
      <c r="D18" s="15">
        <v>44562</v>
      </c>
      <c r="E18" s="35" t="s">
        <v>40</v>
      </c>
      <c r="F18" s="35" t="s">
        <v>62</v>
      </c>
      <c r="G18" s="35" t="s">
        <v>60</v>
      </c>
      <c r="H18" s="35" t="s">
        <v>32</v>
      </c>
      <c r="I18" s="36">
        <v>150</v>
      </c>
      <c r="J18" s="37">
        <v>20</v>
      </c>
      <c r="K18" s="41">
        <f>listeAchats[[#This Row],[Coût d''achat]]*listeAchats[[#This Row],[Quantité]]</f>
        <v>3000</v>
      </c>
      <c r="L18" s="2"/>
    </row>
    <row r="19" spans="1:12" ht="18" customHeight="1">
      <c r="A19" s="6"/>
      <c r="B19" s="2"/>
      <c r="C19" s="14">
        <f t="shared" si="0"/>
        <v>45</v>
      </c>
      <c r="D19" s="15">
        <v>44690</v>
      </c>
      <c r="E19" s="35" t="s">
        <v>39</v>
      </c>
      <c r="F19" s="35" t="s">
        <v>63</v>
      </c>
      <c r="G19" s="35" t="s">
        <v>60</v>
      </c>
      <c r="H19" s="35" t="s">
        <v>32</v>
      </c>
      <c r="I19" s="36">
        <v>300</v>
      </c>
      <c r="J19" s="37">
        <v>4</v>
      </c>
      <c r="K19" s="41">
        <f>listeAchats[[#This Row],[Coût d''achat]]*listeAchats[[#This Row],[Quantité]]</f>
        <v>1200</v>
      </c>
      <c r="L19" s="2"/>
    </row>
    <row r="20" spans="1:12" ht="18" customHeight="1">
      <c r="A20" s="6"/>
      <c r="B20" s="2"/>
      <c r="C20" s="14">
        <f t="shared" si="0"/>
        <v>44</v>
      </c>
      <c r="D20" s="15">
        <v>44655</v>
      </c>
      <c r="E20" s="35" t="s">
        <v>39</v>
      </c>
      <c r="F20" s="35" t="s">
        <v>63</v>
      </c>
      <c r="G20" s="35" t="s">
        <v>60</v>
      </c>
      <c r="H20" s="35" t="s">
        <v>32</v>
      </c>
      <c r="I20" s="36">
        <v>300</v>
      </c>
      <c r="J20" s="37">
        <v>4</v>
      </c>
      <c r="K20" s="41">
        <f>listeAchats[[#This Row],[Coût d''achat]]*listeAchats[[#This Row],[Quantité]]</f>
        <v>1200</v>
      </c>
      <c r="L20" s="2"/>
    </row>
    <row r="21" spans="1:12" ht="18" customHeight="1">
      <c r="A21" s="6"/>
      <c r="B21" s="2"/>
      <c r="C21" s="14">
        <f t="shared" si="0"/>
        <v>43</v>
      </c>
      <c r="D21" s="15">
        <v>44626</v>
      </c>
      <c r="E21" s="35" t="s">
        <v>39</v>
      </c>
      <c r="F21" s="35" t="s">
        <v>63</v>
      </c>
      <c r="G21" s="35" t="s">
        <v>60</v>
      </c>
      <c r="H21" s="35" t="s">
        <v>32</v>
      </c>
      <c r="I21" s="36">
        <v>300</v>
      </c>
      <c r="J21" s="37">
        <v>2</v>
      </c>
      <c r="K21" s="41">
        <f>listeAchats[[#This Row],[Coût d''achat]]*listeAchats[[#This Row],[Quantité]]</f>
        <v>600</v>
      </c>
      <c r="L21" s="2"/>
    </row>
    <row r="22" spans="1:12" ht="18" customHeight="1">
      <c r="A22" s="6"/>
      <c r="B22" s="2"/>
      <c r="C22" s="14">
        <f t="shared" si="0"/>
        <v>42</v>
      </c>
      <c r="D22" s="15">
        <v>44607</v>
      </c>
      <c r="E22" s="35" t="s">
        <v>39</v>
      </c>
      <c r="F22" s="35" t="s">
        <v>63</v>
      </c>
      <c r="G22" s="35" t="s">
        <v>60</v>
      </c>
      <c r="H22" s="35" t="s">
        <v>32</v>
      </c>
      <c r="I22" s="36">
        <v>300</v>
      </c>
      <c r="J22" s="37">
        <v>10</v>
      </c>
      <c r="K22" s="41">
        <f>listeAchats[[#This Row],[Coût d''achat]]*listeAchats[[#This Row],[Quantité]]</f>
        <v>3000</v>
      </c>
      <c r="L22" s="2"/>
    </row>
    <row r="23" spans="1:12" ht="18" customHeight="1">
      <c r="A23" s="6"/>
      <c r="B23" s="2"/>
      <c r="C23" s="14">
        <f t="shared" si="0"/>
        <v>41</v>
      </c>
      <c r="D23" s="15">
        <v>44577</v>
      </c>
      <c r="E23" s="35" t="s">
        <v>39</v>
      </c>
      <c r="F23" s="35" t="s">
        <v>63</v>
      </c>
      <c r="G23" s="35" t="s">
        <v>60</v>
      </c>
      <c r="H23" s="35" t="s">
        <v>32</v>
      </c>
      <c r="I23" s="36">
        <v>300</v>
      </c>
      <c r="J23" s="37">
        <v>20</v>
      </c>
      <c r="K23" s="41">
        <f>listeAchats[[#This Row],[Coût d''achat]]*listeAchats[[#This Row],[Quantité]]</f>
        <v>6000</v>
      </c>
      <c r="L23" s="2"/>
    </row>
    <row r="24" spans="1:12" ht="18" customHeight="1">
      <c r="A24" s="6"/>
      <c r="B24" s="2"/>
      <c r="C24" s="14">
        <f t="shared" si="0"/>
        <v>40</v>
      </c>
      <c r="D24" s="15">
        <v>44687</v>
      </c>
      <c r="E24" s="35" t="s">
        <v>38</v>
      </c>
      <c r="F24" s="35" t="s">
        <v>64</v>
      </c>
      <c r="G24" s="35" t="s">
        <v>60</v>
      </c>
      <c r="H24" s="35" t="s">
        <v>32</v>
      </c>
      <c r="I24" s="36">
        <v>700</v>
      </c>
      <c r="J24" s="37">
        <v>6</v>
      </c>
      <c r="K24" s="41">
        <f>listeAchats[[#This Row],[Coût d''achat]]*listeAchats[[#This Row],[Quantité]]</f>
        <v>4200</v>
      </c>
      <c r="L24" s="2"/>
    </row>
    <row r="25" spans="1:12" ht="18" customHeight="1">
      <c r="A25" s="6"/>
      <c r="B25" s="2"/>
      <c r="C25" s="14">
        <f t="shared" si="0"/>
        <v>39</v>
      </c>
      <c r="D25" s="15">
        <v>44657</v>
      </c>
      <c r="E25" s="35" t="s">
        <v>38</v>
      </c>
      <c r="F25" s="35" t="s">
        <v>64</v>
      </c>
      <c r="G25" s="35" t="s">
        <v>60</v>
      </c>
      <c r="H25" s="35" t="s">
        <v>32</v>
      </c>
      <c r="I25" s="36">
        <v>700</v>
      </c>
      <c r="J25" s="37">
        <v>2</v>
      </c>
      <c r="K25" s="41">
        <f>listeAchats[[#This Row],[Coût d''achat]]*listeAchats[[#This Row],[Quantité]]</f>
        <v>1400</v>
      </c>
      <c r="L25" s="2"/>
    </row>
    <row r="26" spans="1:12" ht="18" customHeight="1">
      <c r="A26" s="6"/>
      <c r="B26" s="2"/>
      <c r="C26" s="14">
        <f t="shared" si="0"/>
        <v>38</v>
      </c>
      <c r="D26" s="15">
        <v>44623</v>
      </c>
      <c r="E26" s="35" t="s">
        <v>38</v>
      </c>
      <c r="F26" s="35" t="s">
        <v>64</v>
      </c>
      <c r="G26" s="35" t="s">
        <v>60</v>
      </c>
      <c r="H26" s="35" t="s">
        <v>32</v>
      </c>
      <c r="I26" s="36">
        <v>700</v>
      </c>
      <c r="J26" s="37">
        <v>4</v>
      </c>
      <c r="K26" s="41">
        <f>listeAchats[[#This Row],[Coût d''achat]]*listeAchats[[#This Row],[Quantité]]</f>
        <v>2800</v>
      </c>
      <c r="L26" s="2"/>
    </row>
    <row r="27" spans="1:12" ht="18" customHeight="1">
      <c r="A27" s="6"/>
      <c r="B27" s="2"/>
      <c r="C27" s="14">
        <f t="shared" si="0"/>
        <v>37</v>
      </c>
      <c r="D27" s="15">
        <v>44595</v>
      </c>
      <c r="E27" s="35" t="s">
        <v>38</v>
      </c>
      <c r="F27" s="35" t="s">
        <v>64</v>
      </c>
      <c r="G27" s="35" t="s">
        <v>60</v>
      </c>
      <c r="H27" s="35" t="s">
        <v>32</v>
      </c>
      <c r="I27" s="36">
        <v>700</v>
      </c>
      <c r="J27" s="37">
        <v>3</v>
      </c>
      <c r="K27" s="41">
        <f>listeAchats[[#This Row],[Coût d''achat]]*listeAchats[[#This Row],[Quantité]]</f>
        <v>2100</v>
      </c>
      <c r="L27" s="2"/>
    </row>
    <row r="28" spans="1:12" ht="18" customHeight="1">
      <c r="A28" s="6"/>
      <c r="B28" s="2"/>
      <c r="C28" s="14">
        <f t="shared" si="0"/>
        <v>36</v>
      </c>
      <c r="D28" s="15">
        <v>44583</v>
      </c>
      <c r="E28" s="35" t="s">
        <v>38</v>
      </c>
      <c r="F28" s="35" t="s">
        <v>64</v>
      </c>
      <c r="G28" s="35" t="s">
        <v>60</v>
      </c>
      <c r="H28" s="35" t="s">
        <v>32</v>
      </c>
      <c r="I28" s="36">
        <v>700</v>
      </c>
      <c r="J28" s="37">
        <v>4</v>
      </c>
      <c r="K28" s="41">
        <f>listeAchats[[#This Row],[Coût d''achat]]*listeAchats[[#This Row],[Quantité]]</f>
        <v>2800</v>
      </c>
      <c r="L28" s="2"/>
    </row>
    <row r="29" spans="1:12" ht="18" customHeight="1">
      <c r="A29" s="6"/>
      <c r="B29" s="2"/>
      <c r="C29" s="14">
        <f t="shared" si="0"/>
        <v>35</v>
      </c>
      <c r="D29" s="15">
        <v>44703</v>
      </c>
      <c r="E29" s="35" t="s">
        <v>36</v>
      </c>
      <c r="F29" s="35" t="s">
        <v>50</v>
      </c>
      <c r="G29" s="35" t="s">
        <v>59</v>
      </c>
      <c r="H29" s="35" t="s">
        <v>32</v>
      </c>
      <c r="I29" s="36">
        <v>405</v>
      </c>
      <c r="J29" s="37">
        <v>5</v>
      </c>
      <c r="K29" s="41">
        <f>listeAchats[[#This Row],[Coût d''achat]]*listeAchats[[#This Row],[Quantité]]</f>
        <v>2025</v>
      </c>
      <c r="L29" s="2"/>
    </row>
    <row r="30" spans="1:12" ht="18" customHeight="1">
      <c r="A30" s="6"/>
      <c r="B30" s="2"/>
      <c r="C30" s="14">
        <f t="shared" si="0"/>
        <v>34</v>
      </c>
      <c r="D30" s="15">
        <v>44656</v>
      </c>
      <c r="E30" s="35" t="s">
        <v>36</v>
      </c>
      <c r="F30" s="35" t="s">
        <v>50</v>
      </c>
      <c r="G30" s="35" t="s">
        <v>59</v>
      </c>
      <c r="H30" s="35" t="s">
        <v>32</v>
      </c>
      <c r="I30" s="36">
        <v>410</v>
      </c>
      <c r="J30" s="37">
        <v>10</v>
      </c>
      <c r="K30" s="41">
        <f>listeAchats[[#This Row],[Coût d''achat]]*listeAchats[[#This Row],[Quantité]]</f>
        <v>4100</v>
      </c>
      <c r="L30" s="2"/>
    </row>
    <row r="31" spans="1:12" ht="18" customHeight="1">
      <c r="A31" s="6"/>
      <c r="B31" s="2"/>
      <c r="C31" s="14">
        <f t="shared" si="0"/>
        <v>33</v>
      </c>
      <c r="D31" s="15">
        <v>44625</v>
      </c>
      <c r="E31" s="35" t="s">
        <v>36</v>
      </c>
      <c r="F31" s="35" t="s">
        <v>50</v>
      </c>
      <c r="G31" s="35" t="s">
        <v>59</v>
      </c>
      <c r="H31" s="35" t="s">
        <v>32</v>
      </c>
      <c r="I31" s="36">
        <v>420</v>
      </c>
      <c r="J31" s="37">
        <v>10</v>
      </c>
      <c r="K31" s="41">
        <f>listeAchats[[#This Row],[Coût d''achat]]*listeAchats[[#This Row],[Quantité]]</f>
        <v>4200</v>
      </c>
      <c r="L31" s="2"/>
    </row>
    <row r="32" spans="1:12" ht="18" customHeight="1">
      <c r="A32" s="6"/>
      <c r="B32" s="2"/>
      <c r="C32" s="14">
        <f t="shared" si="0"/>
        <v>32</v>
      </c>
      <c r="D32" s="15">
        <v>44602</v>
      </c>
      <c r="E32" s="35" t="s">
        <v>36</v>
      </c>
      <c r="F32" s="35" t="s">
        <v>50</v>
      </c>
      <c r="G32" s="35" t="s">
        <v>59</v>
      </c>
      <c r="H32" s="35" t="s">
        <v>32</v>
      </c>
      <c r="I32" s="36">
        <v>400</v>
      </c>
      <c r="J32" s="37">
        <v>10</v>
      </c>
      <c r="K32" s="41">
        <f>listeAchats[[#This Row],[Coût d''achat]]*listeAchats[[#This Row],[Quantité]]</f>
        <v>4000</v>
      </c>
      <c r="L32" s="2"/>
    </row>
    <row r="33" spans="1:12" ht="18" customHeight="1">
      <c r="A33" s="6"/>
      <c r="B33" s="2"/>
      <c r="C33" s="14">
        <f t="shared" si="0"/>
        <v>31</v>
      </c>
      <c r="D33" s="15">
        <v>44563</v>
      </c>
      <c r="E33" s="35" t="s">
        <v>36</v>
      </c>
      <c r="F33" s="35" t="s">
        <v>50</v>
      </c>
      <c r="G33" s="35" t="s">
        <v>59</v>
      </c>
      <c r="H33" s="35" t="s">
        <v>32</v>
      </c>
      <c r="I33" s="36">
        <v>400</v>
      </c>
      <c r="J33" s="37">
        <v>5</v>
      </c>
      <c r="K33" s="41">
        <f>listeAchats[[#This Row],[Coût d''achat]]*listeAchats[[#This Row],[Quantité]]</f>
        <v>2000</v>
      </c>
      <c r="L33" s="2"/>
    </row>
    <row r="34" spans="1:12" ht="18" customHeight="1">
      <c r="A34" s="6"/>
      <c r="B34" s="2"/>
      <c r="C34" s="14">
        <f t="shared" si="0"/>
        <v>30</v>
      </c>
      <c r="D34" s="15">
        <v>44689</v>
      </c>
      <c r="E34" s="35" t="s">
        <v>35</v>
      </c>
      <c r="F34" s="35" t="s">
        <v>49</v>
      </c>
      <c r="G34" s="35" t="s">
        <v>59</v>
      </c>
      <c r="H34" s="35" t="s">
        <v>32</v>
      </c>
      <c r="I34" s="36">
        <v>760</v>
      </c>
      <c r="J34" s="37">
        <v>20</v>
      </c>
      <c r="K34" s="41">
        <f>listeAchats[[#This Row],[Coût d''achat]]*listeAchats[[#This Row],[Quantité]]</f>
        <v>15200</v>
      </c>
      <c r="L34" s="2"/>
    </row>
    <row r="35" spans="1:12" ht="18" customHeight="1">
      <c r="A35" s="6"/>
      <c r="B35" s="2"/>
      <c r="C35" s="14">
        <f t="shared" si="0"/>
        <v>29</v>
      </c>
      <c r="D35" s="15">
        <v>44656</v>
      </c>
      <c r="E35" s="35" t="s">
        <v>35</v>
      </c>
      <c r="F35" s="35" t="s">
        <v>49</v>
      </c>
      <c r="G35" s="35" t="s">
        <v>59</v>
      </c>
      <c r="H35" s="35" t="s">
        <v>32</v>
      </c>
      <c r="I35" s="36">
        <v>750</v>
      </c>
      <c r="J35" s="37">
        <v>5</v>
      </c>
      <c r="K35" s="41">
        <f>listeAchats[[#This Row],[Coût d''achat]]*listeAchats[[#This Row],[Quantité]]</f>
        <v>3750</v>
      </c>
      <c r="L35" s="2"/>
    </row>
    <row r="36" spans="1:12" ht="18" customHeight="1">
      <c r="A36" s="6"/>
      <c r="B36" s="2"/>
      <c r="C36" s="14">
        <f t="shared" si="0"/>
        <v>28</v>
      </c>
      <c r="D36" s="15">
        <v>44623</v>
      </c>
      <c r="E36" s="35" t="s">
        <v>35</v>
      </c>
      <c r="F36" s="35" t="s">
        <v>49</v>
      </c>
      <c r="G36" s="35" t="s">
        <v>59</v>
      </c>
      <c r="H36" s="35" t="s">
        <v>32</v>
      </c>
      <c r="I36" s="36">
        <v>745</v>
      </c>
      <c r="J36" s="37">
        <v>10</v>
      </c>
      <c r="K36" s="41">
        <f>listeAchats[[#This Row],[Coût d''achat]]*listeAchats[[#This Row],[Quantité]]</f>
        <v>7450</v>
      </c>
      <c r="L36" s="2"/>
    </row>
    <row r="37" spans="1:12" ht="18" customHeight="1">
      <c r="A37" s="6"/>
      <c r="B37" s="2"/>
      <c r="C37" s="14">
        <f t="shared" si="0"/>
        <v>27</v>
      </c>
      <c r="D37" s="15">
        <v>44618</v>
      </c>
      <c r="E37" s="35" t="s">
        <v>35</v>
      </c>
      <c r="F37" s="35" t="s">
        <v>49</v>
      </c>
      <c r="G37" s="35" t="s">
        <v>59</v>
      </c>
      <c r="H37" s="35" t="s">
        <v>32</v>
      </c>
      <c r="I37" s="36">
        <v>750</v>
      </c>
      <c r="J37" s="37">
        <v>10</v>
      </c>
      <c r="K37" s="41">
        <f>listeAchats[[#This Row],[Coût d''achat]]*listeAchats[[#This Row],[Quantité]]</f>
        <v>7500</v>
      </c>
      <c r="L37" s="2"/>
    </row>
    <row r="38" spans="1:12" ht="18" customHeight="1">
      <c r="A38" s="6"/>
      <c r="B38" s="2"/>
      <c r="C38" s="14">
        <f t="shared" si="0"/>
        <v>26</v>
      </c>
      <c r="D38" s="15">
        <v>44563</v>
      </c>
      <c r="E38" s="35" t="s">
        <v>35</v>
      </c>
      <c r="F38" s="35" t="s">
        <v>49</v>
      </c>
      <c r="G38" s="35" t="s">
        <v>59</v>
      </c>
      <c r="H38" s="35" t="s">
        <v>32</v>
      </c>
      <c r="I38" s="36">
        <v>740</v>
      </c>
      <c r="J38" s="37">
        <v>5</v>
      </c>
      <c r="K38" s="41">
        <f>listeAchats[[#This Row],[Coût d''achat]]*listeAchats[[#This Row],[Quantité]]</f>
        <v>3700</v>
      </c>
      <c r="L38" s="2"/>
    </row>
    <row r="39" spans="1:12" ht="18" customHeight="1">
      <c r="A39" s="6"/>
      <c r="B39" s="2"/>
      <c r="C39" s="14">
        <f t="shared" si="0"/>
        <v>25</v>
      </c>
      <c r="D39" s="15">
        <v>44683</v>
      </c>
      <c r="E39" s="35" t="s">
        <v>53</v>
      </c>
      <c r="F39" s="35" t="s">
        <v>66</v>
      </c>
      <c r="G39" s="35" t="s">
        <v>58</v>
      </c>
      <c r="H39" s="35" t="s">
        <v>32</v>
      </c>
      <c r="I39" s="36">
        <v>1400</v>
      </c>
      <c r="J39" s="37">
        <v>30</v>
      </c>
      <c r="K39" s="41">
        <f>listeAchats[[#This Row],[Coût d''achat]]*listeAchats[[#This Row],[Quantité]]</f>
        <v>42000</v>
      </c>
      <c r="L39" s="2"/>
    </row>
    <row r="40" spans="1:12" ht="18" customHeight="1">
      <c r="A40" s="6"/>
      <c r="B40" s="2"/>
      <c r="C40" s="14">
        <f t="shared" si="0"/>
        <v>24</v>
      </c>
      <c r="D40" s="15">
        <v>44676</v>
      </c>
      <c r="E40" s="35" t="s">
        <v>53</v>
      </c>
      <c r="F40" s="35" t="s">
        <v>66</v>
      </c>
      <c r="G40" s="35" t="s">
        <v>58</v>
      </c>
      <c r="H40" s="35" t="s">
        <v>32</v>
      </c>
      <c r="I40" s="36">
        <v>1400</v>
      </c>
      <c r="J40" s="37">
        <v>20</v>
      </c>
      <c r="K40" s="41">
        <f>listeAchats[[#This Row],[Coût d''achat]]*listeAchats[[#This Row],[Quantité]]</f>
        <v>28000</v>
      </c>
      <c r="L40" s="2"/>
    </row>
    <row r="41" spans="1:12" ht="18" customHeight="1">
      <c r="A41" s="6"/>
      <c r="B41" s="2"/>
      <c r="C41" s="14">
        <f t="shared" ref="C41:C61" si="1">C42+1</f>
        <v>23</v>
      </c>
      <c r="D41" s="15">
        <v>44646</v>
      </c>
      <c r="E41" s="35" t="s">
        <v>53</v>
      </c>
      <c r="F41" s="35" t="s">
        <v>66</v>
      </c>
      <c r="G41" s="35" t="s">
        <v>58</v>
      </c>
      <c r="H41" s="35" t="s">
        <v>32</v>
      </c>
      <c r="I41" s="36">
        <v>1400</v>
      </c>
      <c r="J41" s="37">
        <v>10</v>
      </c>
      <c r="K41" s="41">
        <f>listeAchats[[#This Row],[Coût d''achat]]*listeAchats[[#This Row],[Quantité]]</f>
        <v>14000</v>
      </c>
      <c r="L41" s="2"/>
    </row>
    <row r="42" spans="1:12" ht="18" customHeight="1">
      <c r="A42" s="6"/>
      <c r="B42" s="2"/>
      <c r="C42" s="14">
        <f t="shared" si="1"/>
        <v>22</v>
      </c>
      <c r="D42" s="15">
        <v>44594</v>
      </c>
      <c r="E42" s="35" t="s">
        <v>53</v>
      </c>
      <c r="F42" s="35" t="s">
        <v>66</v>
      </c>
      <c r="G42" s="35" t="s">
        <v>58</v>
      </c>
      <c r="H42" s="35" t="s">
        <v>32</v>
      </c>
      <c r="I42" s="36">
        <v>1400</v>
      </c>
      <c r="J42" s="37">
        <v>6</v>
      </c>
      <c r="K42" s="41">
        <f>listeAchats[[#This Row],[Coût d''achat]]*listeAchats[[#This Row],[Quantité]]</f>
        <v>8400</v>
      </c>
      <c r="L42" s="2"/>
    </row>
    <row r="43" spans="1:12" ht="18" customHeight="1">
      <c r="A43" s="6"/>
      <c r="B43" s="2"/>
      <c r="C43" s="14">
        <f t="shared" si="1"/>
        <v>21</v>
      </c>
      <c r="D43" s="15">
        <v>44593</v>
      </c>
      <c r="E43" s="35" t="s">
        <v>53</v>
      </c>
      <c r="F43" s="35" t="s">
        <v>66</v>
      </c>
      <c r="G43" s="35" t="s">
        <v>58</v>
      </c>
      <c r="H43" s="35" t="s">
        <v>32</v>
      </c>
      <c r="I43" s="36">
        <v>1400</v>
      </c>
      <c r="J43" s="37">
        <v>30</v>
      </c>
      <c r="K43" s="41">
        <f>listeAchats[[#This Row],[Coût d''achat]]*listeAchats[[#This Row],[Quantité]]</f>
        <v>42000</v>
      </c>
      <c r="L43" s="2"/>
    </row>
    <row r="44" spans="1:12" ht="18" customHeight="1">
      <c r="A44" s="6"/>
      <c r="B44" s="2"/>
      <c r="C44" s="14">
        <f t="shared" si="1"/>
        <v>20</v>
      </c>
      <c r="D44" s="15">
        <v>44689</v>
      </c>
      <c r="E44" s="35" t="s">
        <v>52</v>
      </c>
      <c r="F44" s="35" t="s">
        <v>51</v>
      </c>
      <c r="G44" s="35" t="s">
        <v>58</v>
      </c>
      <c r="H44" s="35" t="s">
        <v>32</v>
      </c>
      <c r="I44" s="36">
        <v>620</v>
      </c>
      <c r="J44" s="37">
        <v>3</v>
      </c>
      <c r="K44" s="41">
        <f>listeAchats[[#This Row],[Coût d''achat]]*listeAchats[[#This Row],[Quantité]]</f>
        <v>1860</v>
      </c>
      <c r="L44" s="2"/>
    </row>
    <row r="45" spans="1:12" ht="18" customHeight="1">
      <c r="A45" s="6"/>
      <c r="B45" s="2"/>
      <c r="C45" s="14">
        <f t="shared" si="1"/>
        <v>19</v>
      </c>
      <c r="D45" s="15">
        <v>44656</v>
      </c>
      <c r="E45" s="35" t="s">
        <v>52</v>
      </c>
      <c r="F45" s="35" t="s">
        <v>51</v>
      </c>
      <c r="G45" s="35" t="s">
        <v>58</v>
      </c>
      <c r="H45" s="35" t="s">
        <v>32</v>
      </c>
      <c r="I45" s="36">
        <v>600</v>
      </c>
      <c r="J45" s="37">
        <v>5</v>
      </c>
      <c r="K45" s="41">
        <f>listeAchats[[#This Row],[Coût d''achat]]*listeAchats[[#This Row],[Quantité]]</f>
        <v>3000</v>
      </c>
      <c r="L45" s="2"/>
    </row>
    <row r="46" spans="1:12" ht="18" customHeight="1">
      <c r="A46" s="6"/>
      <c r="B46" s="2"/>
      <c r="C46" s="14">
        <f t="shared" si="1"/>
        <v>18</v>
      </c>
      <c r="D46" s="15">
        <v>44623</v>
      </c>
      <c r="E46" s="35" t="s">
        <v>52</v>
      </c>
      <c r="F46" s="35" t="s">
        <v>51</v>
      </c>
      <c r="G46" s="35" t="s">
        <v>58</v>
      </c>
      <c r="H46" s="35" t="s">
        <v>32</v>
      </c>
      <c r="I46" s="36">
        <v>550</v>
      </c>
      <c r="J46" s="37">
        <v>2</v>
      </c>
      <c r="K46" s="41">
        <f>listeAchats[[#This Row],[Coût d''achat]]*listeAchats[[#This Row],[Quantité]]</f>
        <v>1100</v>
      </c>
      <c r="L46" s="2"/>
    </row>
    <row r="47" spans="1:12" ht="18" customHeight="1">
      <c r="A47" s="6"/>
      <c r="B47" s="2"/>
      <c r="C47" s="14">
        <f t="shared" si="1"/>
        <v>17</v>
      </c>
      <c r="D47" s="15">
        <v>44597</v>
      </c>
      <c r="E47" s="35" t="s">
        <v>52</v>
      </c>
      <c r="F47" s="35" t="s">
        <v>51</v>
      </c>
      <c r="G47" s="35" t="s">
        <v>58</v>
      </c>
      <c r="H47" s="35" t="s">
        <v>32</v>
      </c>
      <c r="I47" s="36">
        <v>600</v>
      </c>
      <c r="J47" s="37">
        <v>5</v>
      </c>
      <c r="K47" s="41">
        <f>listeAchats[[#This Row],[Coût d''achat]]*listeAchats[[#This Row],[Quantité]]</f>
        <v>3000</v>
      </c>
      <c r="L47" s="2"/>
    </row>
    <row r="48" spans="1:12" ht="18" customHeight="1">
      <c r="A48" s="6"/>
      <c r="B48" s="2"/>
      <c r="C48" s="14">
        <f t="shared" si="1"/>
        <v>16</v>
      </c>
      <c r="D48" s="15">
        <v>44581</v>
      </c>
      <c r="E48" s="35" t="s">
        <v>52</v>
      </c>
      <c r="F48" s="35" t="s">
        <v>51</v>
      </c>
      <c r="G48" s="35" t="s">
        <v>58</v>
      </c>
      <c r="H48" s="35" t="s">
        <v>32</v>
      </c>
      <c r="I48" s="36">
        <v>600</v>
      </c>
      <c r="J48" s="37">
        <v>40</v>
      </c>
      <c r="K48" s="41">
        <f>listeAchats[[#This Row],[Coût d''achat]]*listeAchats[[#This Row],[Quantité]]</f>
        <v>24000</v>
      </c>
      <c r="L48" s="2"/>
    </row>
    <row r="49" spans="1:12" ht="18" customHeight="1">
      <c r="A49" s="6"/>
      <c r="B49" s="2"/>
      <c r="C49" s="14">
        <f t="shared" si="1"/>
        <v>15</v>
      </c>
      <c r="D49" s="15">
        <v>44689</v>
      </c>
      <c r="E49" s="35" t="s">
        <v>56</v>
      </c>
      <c r="F49" s="35" t="s">
        <v>18</v>
      </c>
      <c r="G49" s="35" t="s">
        <v>19</v>
      </c>
      <c r="H49" s="35" t="s">
        <v>22</v>
      </c>
      <c r="I49" s="36">
        <v>4</v>
      </c>
      <c r="J49" s="37">
        <v>250</v>
      </c>
      <c r="K49" s="41">
        <f>listeAchats[[#This Row],[Coût d''achat]]*listeAchats[[#This Row],[Quantité]]</f>
        <v>1000</v>
      </c>
      <c r="L49" s="2"/>
    </row>
    <row r="50" spans="1:12" ht="18" customHeight="1">
      <c r="A50" s="6"/>
      <c r="B50" s="2"/>
      <c r="C50" s="14">
        <f t="shared" si="1"/>
        <v>14</v>
      </c>
      <c r="D50" s="15">
        <v>44676</v>
      </c>
      <c r="E50" s="35" t="s">
        <v>56</v>
      </c>
      <c r="F50" s="35" t="s">
        <v>18</v>
      </c>
      <c r="G50" s="35" t="s">
        <v>19</v>
      </c>
      <c r="H50" s="35" t="s">
        <v>22</v>
      </c>
      <c r="I50" s="36">
        <v>4</v>
      </c>
      <c r="J50" s="37">
        <v>30</v>
      </c>
      <c r="K50" s="41">
        <f>listeAchats[[#This Row],[Coût d''achat]]*listeAchats[[#This Row],[Quantité]]</f>
        <v>120</v>
      </c>
      <c r="L50" s="2"/>
    </row>
    <row r="51" spans="1:12" ht="18" customHeight="1">
      <c r="A51" s="6"/>
      <c r="B51" s="2"/>
      <c r="C51" s="14">
        <f t="shared" si="1"/>
        <v>13</v>
      </c>
      <c r="D51" s="15">
        <v>44640</v>
      </c>
      <c r="E51" s="35" t="s">
        <v>56</v>
      </c>
      <c r="F51" s="35" t="s">
        <v>18</v>
      </c>
      <c r="G51" s="35" t="s">
        <v>19</v>
      </c>
      <c r="H51" s="35" t="s">
        <v>22</v>
      </c>
      <c r="I51" s="36">
        <v>4</v>
      </c>
      <c r="J51" s="37">
        <v>20</v>
      </c>
      <c r="K51" s="41">
        <f>listeAchats[[#This Row],[Coût d''achat]]*listeAchats[[#This Row],[Quantité]]</f>
        <v>80</v>
      </c>
      <c r="L51" s="2"/>
    </row>
    <row r="52" spans="1:12" ht="18" customHeight="1">
      <c r="A52" s="6"/>
      <c r="B52" s="2"/>
      <c r="C52" s="14">
        <f t="shared" si="1"/>
        <v>12</v>
      </c>
      <c r="D52" s="15">
        <v>44597</v>
      </c>
      <c r="E52" s="35" t="s">
        <v>56</v>
      </c>
      <c r="F52" s="35" t="s">
        <v>18</v>
      </c>
      <c r="G52" s="35" t="s">
        <v>19</v>
      </c>
      <c r="H52" s="35" t="s">
        <v>22</v>
      </c>
      <c r="I52" s="36">
        <v>4</v>
      </c>
      <c r="J52" s="37">
        <v>10</v>
      </c>
      <c r="K52" s="41">
        <f>listeAchats[[#This Row],[Coût d''achat]]*listeAchats[[#This Row],[Quantité]]</f>
        <v>40</v>
      </c>
      <c r="L52" s="2"/>
    </row>
    <row r="53" spans="1:12" ht="18" customHeight="1">
      <c r="A53" s="6"/>
      <c r="B53" s="2"/>
      <c r="C53" s="14">
        <f t="shared" si="1"/>
        <v>11</v>
      </c>
      <c r="D53" s="15">
        <v>44686</v>
      </c>
      <c r="E53" s="35" t="s">
        <v>55</v>
      </c>
      <c r="F53" s="35" t="s">
        <v>18</v>
      </c>
      <c r="G53" s="35" t="s">
        <v>19</v>
      </c>
      <c r="H53" s="35" t="s">
        <v>21</v>
      </c>
      <c r="I53" s="36">
        <v>2</v>
      </c>
      <c r="J53" s="37">
        <v>50</v>
      </c>
      <c r="K53" s="41">
        <f>listeAchats[[#This Row],[Coût d''achat]]*listeAchats[[#This Row],[Quantité]]</f>
        <v>100</v>
      </c>
      <c r="L53" s="2"/>
    </row>
    <row r="54" spans="1:12" ht="18" customHeight="1">
      <c r="A54" s="6"/>
      <c r="B54" s="2"/>
      <c r="C54" s="14">
        <f t="shared" si="1"/>
        <v>10</v>
      </c>
      <c r="D54" s="15">
        <v>44656</v>
      </c>
      <c r="E54" s="35" t="s">
        <v>55</v>
      </c>
      <c r="F54" s="35" t="s">
        <v>18</v>
      </c>
      <c r="G54" s="35" t="s">
        <v>19</v>
      </c>
      <c r="H54" s="35" t="s">
        <v>21</v>
      </c>
      <c r="I54" s="36">
        <v>2</v>
      </c>
      <c r="J54" s="37">
        <v>5</v>
      </c>
      <c r="K54" s="41">
        <f>listeAchats[[#This Row],[Coût d''achat]]*listeAchats[[#This Row],[Quantité]]</f>
        <v>10</v>
      </c>
      <c r="L54" s="2"/>
    </row>
    <row r="55" spans="1:12" ht="18" customHeight="1">
      <c r="A55" s="6"/>
      <c r="B55" s="2"/>
      <c r="C55" s="14">
        <f t="shared" si="1"/>
        <v>9</v>
      </c>
      <c r="D55" s="15">
        <v>44622</v>
      </c>
      <c r="E55" s="35" t="s">
        <v>55</v>
      </c>
      <c r="F55" s="35" t="s">
        <v>18</v>
      </c>
      <c r="G55" s="35" t="s">
        <v>19</v>
      </c>
      <c r="H55" s="35" t="s">
        <v>21</v>
      </c>
      <c r="I55" s="36">
        <v>2</v>
      </c>
      <c r="J55" s="37">
        <v>4</v>
      </c>
      <c r="K55" s="41">
        <f>listeAchats[[#This Row],[Coût d''achat]]*listeAchats[[#This Row],[Quantité]]</f>
        <v>8</v>
      </c>
      <c r="L55" s="2"/>
    </row>
    <row r="56" spans="1:12" ht="18" customHeight="1">
      <c r="A56" s="6"/>
      <c r="B56" s="2"/>
      <c r="C56" s="14">
        <f t="shared" si="1"/>
        <v>8</v>
      </c>
      <c r="D56" s="15">
        <v>44617</v>
      </c>
      <c r="E56" s="35" t="s">
        <v>55</v>
      </c>
      <c r="F56" s="35" t="s">
        <v>18</v>
      </c>
      <c r="G56" s="35" t="s">
        <v>19</v>
      </c>
      <c r="H56" s="35" t="s">
        <v>21</v>
      </c>
      <c r="I56" s="36">
        <v>2</v>
      </c>
      <c r="J56" s="37">
        <v>60</v>
      </c>
      <c r="K56" s="41">
        <f>listeAchats[[#This Row],[Coût d''achat]]*listeAchats[[#This Row],[Quantité]]</f>
        <v>120</v>
      </c>
      <c r="L56" s="2"/>
    </row>
    <row r="57" spans="1:12" ht="18" customHeight="1">
      <c r="A57" s="6"/>
      <c r="B57" s="2"/>
      <c r="C57" s="14">
        <f t="shared" si="1"/>
        <v>7</v>
      </c>
      <c r="D57" s="15">
        <v>44686</v>
      </c>
      <c r="E57" s="35" t="s">
        <v>54</v>
      </c>
      <c r="F57" s="35" t="s">
        <v>18</v>
      </c>
      <c r="G57" s="35" t="s">
        <v>19</v>
      </c>
      <c r="H57" s="35" t="s">
        <v>20</v>
      </c>
      <c r="I57" s="36">
        <v>0.24</v>
      </c>
      <c r="J57" s="37">
        <v>10</v>
      </c>
      <c r="K57" s="41">
        <f>listeAchats[[#This Row],[Coût d''achat]]*listeAchats[[#This Row],[Quantité]]</f>
        <v>2.4</v>
      </c>
      <c r="L57" s="2"/>
    </row>
    <row r="58" spans="1:12" ht="18" customHeight="1">
      <c r="A58" s="6"/>
      <c r="B58" s="2"/>
      <c r="C58" s="14">
        <f t="shared" si="1"/>
        <v>6</v>
      </c>
      <c r="D58" s="15">
        <v>44654</v>
      </c>
      <c r="E58" s="35" t="s">
        <v>54</v>
      </c>
      <c r="F58" s="35" t="s">
        <v>18</v>
      </c>
      <c r="G58" s="35" t="s">
        <v>19</v>
      </c>
      <c r="H58" s="35" t="s">
        <v>20</v>
      </c>
      <c r="I58" s="36">
        <v>0.23</v>
      </c>
      <c r="J58" s="37">
        <v>5</v>
      </c>
      <c r="K58" s="41">
        <f>listeAchats[[#This Row],[Coût d''achat]]*listeAchats[[#This Row],[Quantité]]</f>
        <v>1.1500000000000001</v>
      </c>
      <c r="L58" s="2"/>
    </row>
    <row r="59" spans="1:12" ht="18" customHeight="1">
      <c r="A59" s="6"/>
      <c r="B59" s="2"/>
      <c r="C59" s="14">
        <f t="shared" si="1"/>
        <v>5</v>
      </c>
      <c r="D59" s="15">
        <v>44640</v>
      </c>
      <c r="E59" s="35" t="s">
        <v>54</v>
      </c>
      <c r="F59" s="35" t="s">
        <v>18</v>
      </c>
      <c r="G59" s="35" t="s">
        <v>19</v>
      </c>
      <c r="H59" s="35" t="s">
        <v>20</v>
      </c>
      <c r="I59" s="36">
        <v>0.2</v>
      </c>
      <c r="J59" s="37">
        <v>50</v>
      </c>
      <c r="K59" s="41">
        <f>listeAchats[[#This Row],[Coût d''achat]]*listeAchats[[#This Row],[Quantité]]</f>
        <v>10</v>
      </c>
      <c r="L59" s="2"/>
    </row>
    <row r="60" spans="1:12" ht="18" customHeight="1">
      <c r="A60" s="6"/>
      <c r="B60" s="2"/>
      <c r="C60" s="14">
        <f t="shared" si="1"/>
        <v>4</v>
      </c>
      <c r="D60" s="15">
        <v>44594</v>
      </c>
      <c r="E60" s="35" t="s">
        <v>54</v>
      </c>
      <c r="F60" s="35" t="s">
        <v>18</v>
      </c>
      <c r="G60" s="35" t="s">
        <v>19</v>
      </c>
      <c r="H60" s="35" t="s">
        <v>20</v>
      </c>
      <c r="I60" s="36">
        <v>0.22</v>
      </c>
      <c r="J60" s="37">
        <v>20</v>
      </c>
      <c r="K60" s="41">
        <f>listeAchats[[#This Row],[Coût d''achat]]*listeAchats[[#This Row],[Quantité]]</f>
        <v>4.4000000000000004</v>
      </c>
      <c r="L60" s="2"/>
    </row>
    <row r="61" spans="1:12" ht="18" customHeight="1">
      <c r="A61" s="6"/>
      <c r="B61" s="2"/>
      <c r="C61" s="14">
        <f t="shared" si="1"/>
        <v>3</v>
      </c>
      <c r="D61" s="15">
        <v>44586</v>
      </c>
      <c r="E61" s="35" t="s">
        <v>54</v>
      </c>
      <c r="F61" s="35" t="s">
        <v>18</v>
      </c>
      <c r="G61" s="35" t="s">
        <v>19</v>
      </c>
      <c r="H61" s="35" t="s">
        <v>20</v>
      </c>
      <c r="I61" s="36">
        <v>0.2</v>
      </c>
      <c r="J61" s="37">
        <v>10</v>
      </c>
      <c r="K61" s="41">
        <f>listeAchats[[#This Row],[Coût d''achat]]*listeAchats[[#This Row],[Quantité]]</f>
        <v>2</v>
      </c>
      <c r="L61" s="2"/>
    </row>
    <row r="62" spans="1:12" ht="18" customHeight="1">
      <c r="A62" s="6"/>
      <c r="B62" s="2"/>
      <c r="C62" s="14">
        <v>2</v>
      </c>
      <c r="D62" s="15">
        <v>44566</v>
      </c>
      <c r="E62" s="12" t="s">
        <v>55</v>
      </c>
      <c r="F62" s="12" t="s">
        <v>18</v>
      </c>
      <c r="G62" s="12" t="s">
        <v>19</v>
      </c>
      <c r="H62" s="12" t="s">
        <v>21</v>
      </c>
      <c r="I62" s="13">
        <v>2</v>
      </c>
      <c r="J62" s="37">
        <v>3</v>
      </c>
      <c r="K62" s="13">
        <f>listeAchats[[#This Row],[Coût d''achat]]*listeAchats[[#This Row],[Quantité]]</f>
        <v>6</v>
      </c>
      <c r="L62" s="2"/>
    </row>
    <row r="63" spans="1:12" ht="18" customHeight="1">
      <c r="B63" s="2"/>
      <c r="C63" s="14">
        <v>1</v>
      </c>
      <c r="D63" s="15">
        <v>44563</v>
      </c>
      <c r="E63" s="12" t="s">
        <v>56</v>
      </c>
      <c r="F63" s="12" t="s">
        <v>18</v>
      </c>
      <c r="G63" s="12" t="s">
        <v>19</v>
      </c>
      <c r="H63" s="12" t="s">
        <v>22</v>
      </c>
      <c r="I63" s="13">
        <v>4</v>
      </c>
      <c r="J63" s="37">
        <v>10</v>
      </c>
      <c r="K63" s="13">
        <f>listeAchats[[#This Row],[Coût d''achat]]*listeAchats[[#This Row],[Quantité]]</f>
        <v>40</v>
      </c>
      <c r="L63" s="2"/>
    </row>
    <row r="64" spans="1:12" ht="18" customHeight="1">
      <c r="B64" s="2"/>
      <c r="C64" s="2"/>
      <c r="D64" s="2"/>
      <c r="E64" s="2"/>
      <c r="F64" s="2"/>
      <c r="G64" s="2"/>
      <c r="H64" s="2"/>
      <c r="I64" s="2"/>
      <c r="J64" s="39"/>
      <c r="K64" s="2"/>
      <c r="L64" s="2"/>
    </row>
    <row r="65" spans="2:12" ht="18" customHeight="1">
      <c r="B65" s="2"/>
      <c r="C65" s="2"/>
      <c r="D65" s="2"/>
      <c r="E65" s="2"/>
      <c r="F65" s="34"/>
      <c r="G65" s="2"/>
      <c r="H65" s="2"/>
      <c r="I65" s="2"/>
      <c r="J65" s="39"/>
      <c r="K65" s="2"/>
      <c r="L65" s="2"/>
    </row>
    <row r="66" spans="2:12" ht="18" customHeight="1"/>
    <row r="67" spans="2:12" ht="19.95" customHeight="1"/>
  </sheetData>
  <mergeCells count="2">
    <mergeCell ref="C3:K3"/>
    <mergeCell ref="C4:J4"/>
  </mergeCells>
  <dataValidations count="1">
    <dataValidation type="date" operator="greaterThan" allowBlank="1" showInputMessage="1" showErrorMessage="1" error="Veuillez saisir une date correcte" sqref="D7:D61" xr:uid="{2DB9CBF5-089F-4564-B643-D23D426182B6}">
      <formula1>44561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F1206-68A9-4CBF-8A36-324E888FAAD7}">
  <sheetPr codeName="Feuil9"/>
  <dimension ref="A1:P70"/>
  <sheetViews>
    <sheetView topLeftCell="A7" zoomScale="115" zoomScaleNormal="115" workbookViewId="0">
      <selection activeCell="D8" sqref="D8"/>
    </sheetView>
  </sheetViews>
  <sheetFormatPr baseColWidth="10" defaultColWidth="8.89453125" defaultRowHeight="14.4"/>
  <cols>
    <col min="1" max="1" width="8.1015625" style="1" customWidth="1"/>
    <col min="2" max="2" width="8.7890625" style="1" customWidth="1"/>
    <col min="3" max="3" width="9.41796875" style="1" customWidth="1"/>
    <col min="4" max="4" width="12.68359375" style="1" customWidth="1"/>
    <col min="5" max="5" width="11.5234375" style="1" customWidth="1"/>
    <col min="6" max="6" width="28.20703125" style="1" customWidth="1"/>
    <col min="7" max="7" width="19.89453125" style="1" customWidth="1"/>
    <col min="8" max="8" width="17.89453125" style="1" customWidth="1"/>
    <col min="9" max="9" width="13.7890625" style="1" customWidth="1"/>
    <col min="10" max="10" width="10.5234375" style="1" customWidth="1"/>
    <col min="11" max="11" width="21.3125" style="1" customWidth="1"/>
    <col min="12" max="12" width="8.7890625" style="1" customWidth="1"/>
    <col min="13" max="24" width="12.7890625" style="1" customWidth="1"/>
    <col min="25" max="16384" width="8.89453125" style="1"/>
  </cols>
  <sheetData>
    <row r="1" spans="1:16" ht="22.2" customHeigh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</row>
    <row r="2" spans="1:16" ht="13.8" customHeight="1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</row>
    <row r="3" spans="1:16" ht="26.4" customHeight="1">
      <c r="A3" s="5"/>
      <c r="B3" s="2"/>
      <c r="C3" s="53" t="s">
        <v>45</v>
      </c>
      <c r="D3" s="53"/>
      <c r="E3" s="53"/>
      <c r="F3" s="53"/>
      <c r="G3" s="53"/>
      <c r="H3" s="53"/>
      <c r="I3" s="53"/>
      <c r="J3" s="53"/>
      <c r="K3" s="53"/>
      <c r="L3" s="3"/>
      <c r="M3" s="5"/>
      <c r="N3" s="5"/>
      <c r="O3" s="5"/>
      <c r="P3" s="5"/>
    </row>
    <row r="4" spans="1:16" ht="16.8" customHeight="1">
      <c r="A4" s="5"/>
      <c r="B4" s="2"/>
      <c r="C4" s="52" t="s">
        <v>46</v>
      </c>
      <c r="D4" s="52"/>
      <c r="E4" s="52"/>
      <c r="F4" s="52"/>
      <c r="G4" s="52"/>
      <c r="H4" s="52"/>
      <c r="I4" s="52"/>
      <c r="J4" s="52"/>
      <c r="K4" s="11"/>
      <c r="L4" s="11"/>
      <c r="M4" s="5"/>
      <c r="N4" s="5"/>
      <c r="O4" s="5"/>
      <c r="P4" s="5"/>
    </row>
    <row r="5" spans="1:16">
      <c r="B5" s="2"/>
      <c r="C5" s="2"/>
      <c r="D5" s="2"/>
      <c r="E5" s="2"/>
      <c r="F5" s="2"/>
      <c r="G5" s="2"/>
      <c r="H5" s="2"/>
      <c r="I5" s="2"/>
      <c r="J5" s="2"/>
      <c r="K5" s="2"/>
      <c r="L5" s="3"/>
    </row>
    <row r="6" spans="1:16" ht="18" customHeight="1">
      <c r="A6" s="6"/>
      <c r="B6" s="2"/>
      <c r="C6" s="10" t="s">
        <v>7</v>
      </c>
      <c r="D6" s="10" t="s">
        <v>2</v>
      </c>
      <c r="E6" s="10" t="s">
        <v>14</v>
      </c>
      <c r="F6" s="10" t="s">
        <v>0</v>
      </c>
      <c r="G6" s="10" t="s">
        <v>15</v>
      </c>
      <c r="H6" s="10" t="s">
        <v>8</v>
      </c>
      <c r="I6" s="10" t="s">
        <v>5</v>
      </c>
      <c r="J6" s="10" t="s">
        <v>1</v>
      </c>
      <c r="K6" s="10" t="s">
        <v>6</v>
      </c>
      <c r="L6" s="2"/>
    </row>
    <row r="7" spans="1:16" ht="18" customHeight="1">
      <c r="A7" s="6"/>
      <c r="B7" s="2"/>
      <c r="C7" s="14">
        <f>C8+1</f>
        <v>60</v>
      </c>
      <c r="D7" s="15">
        <v>44698</v>
      </c>
      <c r="E7" s="35" t="s">
        <v>55</v>
      </c>
      <c r="F7" s="35" t="s">
        <v>18</v>
      </c>
      <c r="G7" s="35" t="s">
        <v>19</v>
      </c>
      <c r="H7" s="35" t="s">
        <v>21</v>
      </c>
      <c r="I7" s="36">
        <v>2.5</v>
      </c>
      <c r="J7" s="37">
        <v>10</v>
      </c>
      <c r="K7" s="41">
        <f>listeVentes[[#This Row],[Prix de vente]]*listeVentes[[#This Row],[Quantité]]</f>
        <v>25</v>
      </c>
      <c r="L7" s="2"/>
    </row>
    <row r="8" spans="1:16" ht="18" customHeight="1">
      <c r="A8" s="6"/>
      <c r="B8" s="2"/>
      <c r="C8" s="14">
        <f>C9+1</f>
        <v>59</v>
      </c>
      <c r="D8" s="15">
        <v>44698</v>
      </c>
      <c r="E8" s="35" t="s">
        <v>38</v>
      </c>
      <c r="F8" s="35" t="s">
        <v>64</v>
      </c>
      <c r="G8" s="35" t="s">
        <v>60</v>
      </c>
      <c r="H8" s="35" t="s">
        <v>32</v>
      </c>
      <c r="I8" s="36">
        <v>800</v>
      </c>
      <c r="J8" s="37">
        <v>3</v>
      </c>
      <c r="K8" s="41">
        <f>listeVentes[[#This Row],[Prix de vente]]*listeVentes[[#This Row],[Quantité]]</f>
        <v>2400</v>
      </c>
      <c r="L8" s="2"/>
    </row>
    <row r="9" spans="1:16" ht="18" customHeight="1">
      <c r="A9" s="6"/>
      <c r="B9" s="2"/>
      <c r="C9" s="14">
        <f>C10+1</f>
        <v>58</v>
      </c>
      <c r="D9" s="15">
        <v>44670</v>
      </c>
      <c r="E9" s="35" t="s">
        <v>52</v>
      </c>
      <c r="F9" s="35" t="s">
        <v>51</v>
      </c>
      <c r="G9" s="35" t="s">
        <v>58</v>
      </c>
      <c r="H9" s="35" t="s">
        <v>32</v>
      </c>
      <c r="I9" s="36">
        <v>650</v>
      </c>
      <c r="J9" s="37">
        <v>2</v>
      </c>
      <c r="K9" s="41">
        <f>listeVentes[[#This Row],[Prix de vente]]*listeVentes[[#This Row],[Quantité]]</f>
        <v>1300</v>
      </c>
      <c r="L9" s="2"/>
    </row>
    <row r="10" spans="1:16" ht="18" customHeight="1">
      <c r="A10" s="6"/>
      <c r="B10" s="2"/>
      <c r="C10" s="14">
        <f t="shared" ref="C10:C41" si="0">C11+1</f>
        <v>57</v>
      </c>
      <c r="D10" s="15">
        <v>44662</v>
      </c>
      <c r="E10" s="35" t="s">
        <v>54</v>
      </c>
      <c r="F10" s="35" t="s">
        <v>18</v>
      </c>
      <c r="G10" s="35" t="s">
        <v>19</v>
      </c>
      <c r="H10" s="35" t="s">
        <v>20</v>
      </c>
      <c r="I10" s="36">
        <v>0.2</v>
      </c>
      <c r="J10" s="37">
        <v>20</v>
      </c>
      <c r="K10" s="41">
        <f>listeVentes[[#This Row],[Prix de vente]]*listeVentes[[#This Row],[Quantité]]</f>
        <v>4</v>
      </c>
      <c r="L10" s="2"/>
    </row>
    <row r="11" spans="1:16" ht="18" customHeight="1">
      <c r="A11" s="6"/>
      <c r="B11" s="2"/>
      <c r="C11" s="14">
        <f t="shared" si="0"/>
        <v>56</v>
      </c>
      <c r="D11" s="15">
        <v>44687</v>
      </c>
      <c r="E11" s="35" t="s">
        <v>41</v>
      </c>
      <c r="F11" s="35" t="s">
        <v>61</v>
      </c>
      <c r="G11" s="35" t="s">
        <v>60</v>
      </c>
      <c r="H11" s="35" t="s">
        <v>32</v>
      </c>
      <c r="I11" s="36">
        <v>600</v>
      </c>
      <c r="J11" s="37">
        <v>10</v>
      </c>
      <c r="K11" s="41">
        <f>listeVentes[[#This Row],[Prix de vente]]*listeVentes[[#This Row],[Quantité]]</f>
        <v>6000</v>
      </c>
      <c r="L11" s="2"/>
    </row>
    <row r="12" spans="1:16" ht="18" customHeight="1">
      <c r="A12" s="6"/>
      <c r="B12" s="2"/>
      <c r="C12" s="14">
        <f t="shared" si="0"/>
        <v>55</v>
      </c>
      <c r="D12" s="15">
        <v>44655</v>
      </c>
      <c r="E12" s="35" t="s">
        <v>41</v>
      </c>
      <c r="F12" s="35" t="s">
        <v>61</v>
      </c>
      <c r="G12" s="35" t="s">
        <v>60</v>
      </c>
      <c r="H12" s="35" t="s">
        <v>32</v>
      </c>
      <c r="I12" s="36">
        <v>590</v>
      </c>
      <c r="J12" s="37">
        <v>20</v>
      </c>
      <c r="K12" s="41">
        <f>listeVentes[[#This Row],[Prix de vente]]*listeVentes[[#This Row],[Quantité]]</f>
        <v>11800</v>
      </c>
      <c r="L12" s="2"/>
    </row>
    <row r="13" spans="1:16" ht="18" customHeight="1">
      <c r="A13" s="6"/>
      <c r="B13" s="2"/>
      <c r="C13" s="14">
        <f t="shared" si="0"/>
        <v>54</v>
      </c>
      <c r="D13" s="15">
        <v>44623</v>
      </c>
      <c r="E13" s="35" t="s">
        <v>41</v>
      </c>
      <c r="F13" s="35" t="s">
        <v>61</v>
      </c>
      <c r="G13" s="35" t="s">
        <v>60</v>
      </c>
      <c r="H13" s="35" t="s">
        <v>32</v>
      </c>
      <c r="I13" s="36">
        <v>580</v>
      </c>
      <c r="J13" s="37">
        <v>20</v>
      </c>
      <c r="K13" s="41">
        <f>listeVentes[[#This Row],[Prix de vente]]*listeVentes[[#This Row],[Quantité]]</f>
        <v>11600</v>
      </c>
      <c r="L13" s="2"/>
    </row>
    <row r="14" spans="1:16" ht="18" customHeight="1">
      <c r="A14" s="6"/>
      <c r="B14" s="2"/>
      <c r="C14" s="14">
        <f t="shared" si="0"/>
        <v>53</v>
      </c>
      <c r="D14" s="15">
        <v>44598</v>
      </c>
      <c r="E14" s="35" t="s">
        <v>41</v>
      </c>
      <c r="F14" s="35" t="s">
        <v>61</v>
      </c>
      <c r="G14" s="35" t="s">
        <v>60</v>
      </c>
      <c r="H14" s="35" t="s">
        <v>32</v>
      </c>
      <c r="I14" s="36">
        <v>600</v>
      </c>
      <c r="J14" s="37">
        <v>5</v>
      </c>
      <c r="K14" s="41">
        <f>listeVentes[[#This Row],[Prix de vente]]*listeVentes[[#This Row],[Quantité]]</f>
        <v>3000</v>
      </c>
      <c r="L14" s="2"/>
    </row>
    <row r="15" spans="1:16" ht="18" customHeight="1">
      <c r="A15" s="6"/>
      <c r="B15" s="2"/>
      <c r="C15" s="14">
        <f t="shared" si="0"/>
        <v>52</v>
      </c>
      <c r="D15" s="15">
        <v>44562</v>
      </c>
      <c r="E15" s="35" t="s">
        <v>41</v>
      </c>
      <c r="F15" s="35" t="s">
        <v>61</v>
      </c>
      <c r="G15" s="35" t="s">
        <v>60</v>
      </c>
      <c r="H15" s="35" t="s">
        <v>32</v>
      </c>
      <c r="I15" s="36">
        <v>600</v>
      </c>
      <c r="J15" s="37">
        <v>5</v>
      </c>
      <c r="K15" s="41">
        <f>listeVentes[[#This Row],[Prix de vente]]*listeVentes[[#This Row],[Quantité]]</f>
        <v>3000</v>
      </c>
      <c r="L15" s="2"/>
    </row>
    <row r="16" spans="1:16" ht="18" customHeight="1">
      <c r="A16" s="6"/>
      <c r="B16" s="2"/>
      <c r="C16" s="14">
        <f t="shared" si="0"/>
        <v>51</v>
      </c>
      <c r="D16" s="15">
        <v>44686</v>
      </c>
      <c r="E16" s="35" t="s">
        <v>40</v>
      </c>
      <c r="F16" s="35" t="s">
        <v>62</v>
      </c>
      <c r="G16" s="35" t="s">
        <v>60</v>
      </c>
      <c r="H16" s="35" t="s">
        <v>32</v>
      </c>
      <c r="I16" s="36">
        <v>220</v>
      </c>
      <c r="J16" s="37">
        <v>3</v>
      </c>
      <c r="K16" s="41">
        <f>listeVentes[[#This Row],[Prix de vente]]*listeVentes[[#This Row],[Quantité]]</f>
        <v>660</v>
      </c>
      <c r="L16" s="2"/>
    </row>
    <row r="17" spans="1:12" ht="18" customHeight="1">
      <c r="A17" s="6"/>
      <c r="B17" s="2"/>
      <c r="C17" s="14">
        <f t="shared" si="0"/>
        <v>50</v>
      </c>
      <c r="D17" s="15">
        <v>44655</v>
      </c>
      <c r="E17" s="35" t="s">
        <v>40</v>
      </c>
      <c r="F17" s="35" t="s">
        <v>62</v>
      </c>
      <c r="G17" s="35" t="s">
        <v>60</v>
      </c>
      <c r="H17" s="35" t="s">
        <v>32</v>
      </c>
      <c r="I17" s="36">
        <v>200</v>
      </c>
      <c r="J17" s="37">
        <v>5</v>
      </c>
      <c r="K17" s="41">
        <f>listeVentes[[#This Row],[Prix de vente]]*listeVentes[[#This Row],[Quantité]]</f>
        <v>1000</v>
      </c>
      <c r="L17" s="2"/>
    </row>
    <row r="18" spans="1:12" ht="18" customHeight="1">
      <c r="A18" s="6"/>
      <c r="B18" s="2"/>
      <c r="C18" s="14">
        <f t="shared" si="0"/>
        <v>49</v>
      </c>
      <c r="D18" s="15">
        <v>44625</v>
      </c>
      <c r="E18" s="35" t="s">
        <v>40</v>
      </c>
      <c r="F18" s="35" t="s">
        <v>62</v>
      </c>
      <c r="G18" s="35" t="s">
        <v>60</v>
      </c>
      <c r="H18" s="35" t="s">
        <v>32</v>
      </c>
      <c r="I18" s="36">
        <v>250</v>
      </c>
      <c r="J18" s="37">
        <v>10</v>
      </c>
      <c r="K18" s="41">
        <f>listeVentes[[#This Row],[Prix de vente]]*listeVentes[[#This Row],[Quantité]]</f>
        <v>2500</v>
      </c>
      <c r="L18" s="2"/>
    </row>
    <row r="19" spans="1:12" ht="18" customHeight="1">
      <c r="A19" s="6"/>
      <c r="B19" s="2"/>
      <c r="C19" s="14">
        <f t="shared" si="0"/>
        <v>48</v>
      </c>
      <c r="D19" s="15">
        <v>44597</v>
      </c>
      <c r="E19" s="35" t="s">
        <v>40</v>
      </c>
      <c r="F19" s="35" t="s">
        <v>62</v>
      </c>
      <c r="G19" s="35" t="s">
        <v>60</v>
      </c>
      <c r="H19" s="35" t="s">
        <v>32</v>
      </c>
      <c r="I19" s="36">
        <v>200</v>
      </c>
      <c r="J19" s="37">
        <v>5</v>
      </c>
      <c r="K19" s="41">
        <f>listeVentes[[#This Row],[Prix de vente]]*listeVentes[[#This Row],[Quantité]]</f>
        <v>1000</v>
      </c>
      <c r="L19" s="2"/>
    </row>
    <row r="20" spans="1:12" ht="18" customHeight="1">
      <c r="A20" s="6"/>
      <c r="B20" s="2"/>
      <c r="C20" s="14">
        <f t="shared" si="0"/>
        <v>47</v>
      </c>
      <c r="D20" s="15">
        <v>44562</v>
      </c>
      <c r="E20" s="35" t="s">
        <v>40</v>
      </c>
      <c r="F20" s="35" t="s">
        <v>62</v>
      </c>
      <c r="G20" s="35" t="s">
        <v>60</v>
      </c>
      <c r="H20" s="35" t="s">
        <v>32</v>
      </c>
      <c r="I20" s="36">
        <v>200</v>
      </c>
      <c r="J20" s="37">
        <v>5</v>
      </c>
      <c r="K20" s="41">
        <f>listeVentes[[#This Row],[Prix de vente]]*listeVentes[[#This Row],[Quantité]]</f>
        <v>1000</v>
      </c>
      <c r="L20" s="2"/>
    </row>
    <row r="21" spans="1:12" ht="18" customHeight="1">
      <c r="A21" s="6"/>
      <c r="B21" s="2"/>
      <c r="C21" s="14">
        <f t="shared" si="0"/>
        <v>46</v>
      </c>
      <c r="D21" s="15">
        <v>44685</v>
      </c>
      <c r="E21" s="35" t="s">
        <v>39</v>
      </c>
      <c r="F21" s="35" t="s">
        <v>63</v>
      </c>
      <c r="G21" s="35" t="s">
        <v>60</v>
      </c>
      <c r="H21" s="35" t="s">
        <v>32</v>
      </c>
      <c r="I21" s="36">
        <v>400</v>
      </c>
      <c r="J21" s="37">
        <v>2</v>
      </c>
      <c r="K21" s="41">
        <f>listeVentes[[#This Row],[Prix de vente]]*listeVentes[[#This Row],[Quantité]]</f>
        <v>800</v>
      </c>
      <c r="L21" s="2"/>
    </row>
    <row r="22" spans="1:12" ht="18" customHeight="1">
      <c r="A22" s="6"/>
      <c r="B22" s="2"/>
      <c r="C22" s="14">
        <f t="shared" si="0"/>
        <v>45</v>
      </c>
      <c r="D22" s="15">
        <v>44655</v>
      </c>
      <c r="E22" s="35" t="s">
        <v>39</v>
      </c>
      <c r="F22" s="35" t="s">
        <v>63</v>
      </c>
      <c r="G22" s="35" t="s">
        <v>60</v>
      </c>
      <c r="H22" s="35" t="s">
        <v>32</v>
      </c>
      <c r="I22" s="36">
        <v>400</v>
      </c>
      <c r="J22" s="37">
        <v>7</v>
      </c>
      <c r="K22" s="41">
        <f>listeVentes[[#This Row],[Prix de vente]]*listeVentes[[#This Row],[Quantité]]</f>
        <v>2800</v>
      </c>
      <c r="L22" s="2"/>
    </row>
    <row r="23" spans="1:12" ht="18" customHeight="1">
      <c r="A23" s="6"/>
      <c r="B23" s="2"/>
      <c r="C23" s="14">
        <f t="shared" si="0"/>
        <v>44</v>
      </c>
      <c r="D23" s="15">
        <v>44624</v>
      </c>
      <c r="E23" s="35" t="s">
        <v>39</v>
      </c>
      <c r="F23" s="35" t="s">
        <v>63</v>
      </c>
      <c r="G23" s="35" t="s">
        <v>60</v>
      </c>
      <c r="H23" s="35" t="s">
        <v>32</v>
      </c>
      <c r="I23" s="36">
        <v>400</v>
      </c>
      <c r="J23" s="37">
        <v>5</v>
      </c>
      <c r="K23" s="41">
        <f>listeVentes[[#This Row],[Prix de vente]]*listeVentes[[#This Row],[Quantité]]</f>
        <v>2000</v>
      </c>
      <c r="L23" s="2"/>
    </row>
    <row r="24" spans="1:12" ht="18" customHeight="1">
      <c r="A24" s="6"/>
      <c r="B24" s="2"/>
      <c r="C24" s="14">
        <f t="shared" si="0"/>
        <v>43</v>
      </c>
      <c r="D24" s="15">
        <v>44612</v>
      </c>
      <c r="E24" s="35" t="s">
        <v>39</v>
      </c>
      <c r="F24" s="35" t="s">
        <v>63</v>
      </c>
      <c r="G24" s="35" t="s">
        <v>60</v>
      </c>
      <c r="H24" s="35" t="s">
        <v>32</v>
      </c>
      <c r="I24" s="36">
        <v>400</v>
      </c>
      <c r="J24" s="37">
        <v>5</v>
      </c>
      <c r="K24" s="41">
        <f>listeVentes[[#This Row],[Prix de vente]]*listeVentes[[#This Row],[Quantité]]</f>
        <v>2000</v>
      </c>
      <c r="L24" s="2"/>
    </row>
    <row r="25" spans="1:12" ht="18" customHeight="1">
      <c r="A25" s="6"/>
      <c r="B25" s="2"/>
      <c r="C25" s="14">
        <f t="shared" si="0"/>
        <v>42</v>
      </c>
      <c r="D25" s="15">
        <v>44563</v>
      </c>
      <c r="E25" s="35" t="s">
        <v>39</v>
      </c>
      <c r="F25" s="35" t="s">
        <v>63</v>
      </c>
      <c r="G25" s="35" t="s">
        <v>60</v>
      </c>
      <c r="H25" s="35" t="s">
        <v>32</v>
      </c>
      <c r="I25" s="36">
        <v>400</v>
      </c>
      <c r="J25" s="37">
        <v>5</v>
      </c>
      <c r="K25" s="41">
        <f>listeVentes[[#This Row],[Prix de vente]]*listeVentes[[#This Row],[Quantité]]</f>
        <v>2000</v>
      </c>
      <c r="L25" s="2"/>
    </row>
    <row r="26" spans="1:12" ht="18" customHeight="1">
      <c r="A26" s="6"/>
      <c r="B26" s="2"/>
      <c r="C26" s="14">
        <f t="shared" si="0"/>
        <v>41</v>
      </c>
      <c r="D26" s="15">
        <v>44696</v>
      </c>
      <c r="E26" s="35" t="s">
        <v>38</v>
      </c>
      <c r="F26" s="35" t="s">
        <v>65</v>
      </c>
      <c r="G26" s="35" t="s">
        <v>60</v>
      </c>
      <c r="H26" s="35" t="s">
        <v>32</v>
      </c>
      <c r="I26" s="36">
        <v>800</v>
      </c>
      <c r="J26" s="37">
        <v>2</v>
      </c>
      <c r="K26" s="41">
        <f>listeVentes[[#This Row],[Prix de vente]]*listeVentes[[#This Row],[Quantité]]</f>
        <v>1600</v>
      </c>
      <c r="L26" s="2"/>
    </row>
    <row r="27" spans="1:12" ht="18" customHeight="1">
      <c r="A27" s="6"/>
      <c r="B27" s="2"/>
      <c r="C27" s="14">
        <f t="shared" si="0"/>
        <v>40</v>
      </c>
      <c r="D27" s="15">
        <v>44655</v>
      </c>
      <c r="E27" s="35" t="s">
        <v>38</v>
      </c>
      <c r="F27" s="35" t="s">
        <v>65</v>
      </c>
      <c r="G27" s="35" t="s">
        <v>60</v>
      </c>
      <c r="H27" s="35" t="s">
        <v>32</v>
      </c>
      <c r="I27" s="36">
        <v>800</v>
      </c>
      <c r="J27" s="37">
        <v>2</v>
      </c>
      <c r="K27" s="41">
        <f>listeVentes[[#This Row],[Prix de vente]]*listeVentes[[#This Row],[Quantité]]</f>
        <v>1600</v>
      </c>
      <c r="L27" s="2"/>
    </row>
    <row r="28" spans="1:12" ht="18" customHeight="1">
      <c r="A28" s="6"/>
      <c r="B28" s="2"/>
      <c r="C28" s="14">
        <f t="shared" si="0"/>
        <v>39</v>
      </c>
      <c r="D28" s="15">
        <v>44646</v>
      </c>
      <c r="E28" s="35" t="s">
        <v>38</v>
      </c>
      <c r="F28" s="35" t="s">
        <v>65</v>
      </c>
      <c r="G28" s="35" t="s">
        <v>60</v>
      </c>
      <c r="H28" s="35" t="s">
        <v>32</v>
      </c>
      <c r="I28" s="36">
        <v>800</v>
      </c>
      <c r="J28" s="37">
        <v>6</v>
      </c>
      <c r="K28" s="41">
        <f>listeVentes[[#This Row],[Prix de vente]]*listeVentes[[#This Row],[Quantité]]</f>
        <v>4800</v>
      </c>
      <c r="L28" s="2"/>
    </row>
    <row r="29" spans="1:12" ht="18" customHeight="1">
      <c r="A29" s="6"/>
      <c r="B29" s="2"/>
      <c r="C29" s="14">
        <f t="shared" si="0"/>
        <v>38</v>
      </c>
      <c r="D29" s="15">
        <v>44598</v>
      </c>
      <c r="E29" s="35" t="s">
        <v>38</v>
      </c>
      <c r="F29" s="35" t="s">
        <v>65</v>
      </c>
      <c r="G29" s="35" t="s">
        <v>60</v>
      </c>
      <c r="H29" s="35" t="s">
        <v>32</v>
      </c>
      <c r="I29" s="36">
        <v>800</v>
      </c>
      <c r="J29" s="37">
        <v>6</v>
      </c>
      <c r="K29" s="41">
        <f>listeVentes[[#This Row],[Prix de vente]]*listeVentes[[#This Row],[Quantité]]</f>
        <v>4800</v>
      </c>
      <c r="L29" s="2"/>
    </row>
    <row r="30" spans="1:12" ht="18" customHeight="1">
      <c r="A30" s="6"/>
      <c r="B30" s="2"/>
      <c r="C30" s="14">
        <f t="shared" si="0"/>
        <v>37</v>
      </c>
      <c r="D30" s="15">
        <v>44563</v>
      </c>
      <c r="E30" s="35" t="s">
        <v>38</v>
      </c>
      <c r="F30" s="35" t="s">
        <v>65</v>
      </c>
      <c r="G30" s="35" t="s">
        <v>60</v>
      </c>
      <c r="H30" s="35" t="s">
        <v>32</v>
      </c>
      <c r="I30" s="36">
        <v>800</v>
      </c>
      <c r="J30" s="37">
        <v>2</v>
      </c>
      <c r="K30" s="41">
        <f>listeVentes[[#This Row],[Prix de vente]]*listeVentes[[#This Row],[Quantité]]</f>
        <v>1600</v>
      </c>
      <c r="L30" s="2"/>
    </row>
    <row r="31" spans="1:12" ht="18" customHeight="1">
      <c r="A31" s="6"/>
      <c r="B31" s="2"/>
      <c r="C31" s="14">
        <f t="shared" si="0"/>
        <v>36</v>
      </c>
      <c r="D31" s="15">
        <v>44686</v>
      </c>
      <c r="E31" s="35" t="s">
        <v>36</v>
      </c>
      <c r="F31" s="35" t="s">
        <v>50</v>
      </c>
      <c r="G31" s="35" t="s">
        <v>59</v>
      </c>
      <c r="H31" s="35" t="s">
        <v>32</v>
      </c>
      <c r="I31" s="36">
        <v>550</v>
      </c>
      <c r="J31" s="37">
        <v>2</v>
      </c>
      <c r="K31" s="41">
        <f>listeVentes[[#This Row],[Prix de vente]]*listeVentes[[#This Row],[Quantité]]</f>
        <v>1100</v>
      </c>
      <c r="L31" s="2"/>
    </row>
    <row r="32" spans="1:12" ht="18" customHeight="1">
      <c r="A32" s="6"/>
      <c r="B32" s="2"/>
      <c r="C32" s="14">
        <f t="shared" si="0"/>
        <v>35</v>
      </c>
      <c r="D32" s="15">
        <v>44655</v>
      </c>
      <c r="E32" s="35" t="s">
        <v>36</v>
      </c>
      <c r="F32" s="35" t="s">
        <v>50</v>
      </c>
      <c r="G32" s="35" t="s">
        <v>59</v>
      </c>
      <c r="H32" s="35" t="s">
        <v>32</v>
      </c>
      <c r="I32" s="36">
        <v>550</v>
      </c>
      <c r="J32" s="37">
        <v>10</v>
      </c>
      <c r="K32" s="41">
        <f>listeVentes[[#This Row],[Prix de vente]]*listeVentes[[#This Row],[Quantité]]</f>
        <v>5500</v>
      </c>
      <c r="L32" s="2"/>
    </row>
    <row r="33" spans="1:12" ht="18" customHeight="1">
      <c r="A33" s="6"/>
      <c r="B33" s="2"/>
      <c r="C33" s="14">
        <f t="shared" si="0"/>
        <v>34</v>
      </c>
      <c r="D33" s="15">
        <v>44625</v>
      </c>
      <c r="E33" s="35" t="s">
        <v>36</v>
      </c>
      <c r="F33" s="35" t="s">
        <v>50</v>
      </c>
      <c r="G33" s="35" t="s">
        <v>59</v>
      </c>
      <c r="H33" s="35" t="s">
        <v>32</v>
      </c>
      <c r="I33" s="36">
        <v>520</v>
      </c>
      <c r="J33" s="37">
        <v>6</v>
      </c>
      <c r="K33" s="41">
        <f>listeVentes[[#This Row],[Prix de vente]]*listeVentes[[#This Row],[Quantité]]</f>
        <v>3120</v>
      </c>
      <c r="L33" s="2"/>
    </row>
    <row r="34" spans="1:12" ht="18" customHeight="1">
      <c r="A34" s="6"/>
      <c r="B34" s="2"/>
      <c r="C34" s="14">
        <f t="shared" si="0"/>
        <v>33</v>
      </c>
      <c r="D34" s="15">
        <v>44601</v>
      </c>
      <c r="E34" s="35" t="s">
        <v>36</v>
      </c>
      <c r="F34" s="35" t="s">
        <v>50</v>
      </c>
      <c r="G34" s="35" t="s">
        <v>59</v>
      </c>
      <c r="H34" s="35" t="s">
        <v>32</v>
      </c>
      <c r="I34" s="36">
        <v>600</v>
      </c>
      <c r="J34" s="37">
        <v>20</v>
      </c>
      <c r="K34" s="41">
        <f>listeVentes[[#This Row],[Prix de vente]]*listeVentes[[#This Row],[Quantité]]</f>
        <v>12000</v>
      </c>
      <c r="L34" s="2"/>
    </row>
    <row r="35" spans="1:12" ht="18" customHeight="1">
      <c r="A35" s="6"/>
      <c r="B35" s="2"/>
      <c r="C35" s="14">
        <f t="shared" si="0"/>
        <v>32</v>
      </c>
      <c r="D35" s="15">
        <v>44567</v>
      </c>
      <c r="E35" s="35" t="s">
        <v>36</v>
      </c>
      <c r="F35" s="35" t="s">
        <v>50</v>
      </c>
      <c r="G35" s="35" t="s">
        <v>59</v>
      </c>
      <c r="H35" s="35" t="s">
        <v>32</v>
      </c>
      <c r="I35" s="36">
        <v>550</v>
      </c>
      <c r="J35" s="37">
        <v>6</v>
      </c>
      <c r="K35" s="41">
        <f>listeVentes[[#This Row],[Prix de vente]]*listeVentes[[#This Row],[Quantité]]</f>
        <v>3300</v>
      </c>
      <c r="L35" s="2"/>
    </row>
    <row r="36" spans="1:12" ht="18" customHeight="1">
      <c r="A36" s="6"/>
      <c r="B36" s="2"/>
      <c r="C36" s="14">
        <f t="shared" si="0"/>
        <v>31</v>
      </c>
      <c r="D36" s="15">
        <v>44684</v>
      </c>
      <c r="E36" s="35" t="s">
        <v>35</v>
      </c>
      <c r="F36" s="35" t="s">
        <v>49</v>
      </c>
      <c r="G36" s="35" t="s">
        <v>59</v>
      </c>
      <c r="H36" s="35" t="s">
        <v>32</v>
      </c>
      <c r="I36" s="36">
        <v>800</v>
      </c>
      <c r="J36" s="37">
        <v>10</v>
      </c>
      <c r="K36" s="41">
        <f>listeVentes[[#This Row],[Prix de vente]]*listeVentes[[#This Row],[Quantité]]</f>
        <v>8000</v>
      </c>
      <c r="L36" s="2"/>
    </row>
    <row r="37" spans="1:12" ht="18" customHeight="1">
      <c r="A37" s="6"/>
      <c r="B37" s="2"/>
      <c r="C37" s="14">
        <f t="shared" si="0"/>
        <v>30</v>
      </c>
      <c r="D37" s="15">
        <v>44672</v>
      </c>
      <c r="E37" s="35" t="s">
        <v>35</v>
      </c>
      <c r="F37" s="35" t="s">
        <v>49</v>
      </c>
      <c r="G37" s="35" t="s">
        <v>59</v>
      </c>
      <c r="H37" s="35" t="s">
        <v>32</v>
      </c>
      <c r="I37" s="36">
        <v>800</v>
      </c>
      <c r="J37" s="37">
        <v>5</v>
      </c>
      <c r="K37" s="41">
        <f>listeVentes[[#This Row],[Prix de vente]]*listeVentes[[#This Row],[Quantité]]</f>
        <v>4000</v>
      </c>
      <c r="L37" s="2"/>
    </row>
    <row r="38" spans="1:12" ht="18" customHeight="1">
      <c r="A38" s="6"/>
      <c r="B38" s="2"/>
      <c r="C38" s="14">
        <f t="shared" si="0"/>
        <v>29</v>
      </c>
      <c r="D38" s="15">
        <v>44626</v>
      </c>
      <c r="E38" s="35" t="s">
        <v>35</v>
      </c>
      <c r="F38" s="35" t="s">
        <v>49</v>
      </c>
      <c r="G38" s="35" t="s">
        <v>59</v>
      </c>
      <c r="H38" s="35" t="s">
        <v>32</v>
      </c>
      <c r="I38" s="36">
        <v>820</v>
      </c>
      <c r="J38" s="37">
        <v>10</v>
      </c>
      <c r="K38" s="41">
        <f>listeVentes[[#This Row],[Prix de vente]]*listeVentes[[#This Row],[Quantité]]</f>
        <v>8200</v>
      </c>
      <c r="L38" s="2"/>
    </row>
    <row r="39" spans="1:12" ht="18" customHeight="1">
      <c r="A39" s="6"/>
      <c r="B39" s="2"/>
      <c r="C39" s="14">
        <f t="shared" si="0"/>
        <v>28</v>
      </c>
      <c r="D39" s="15">
        <v>44597</v>
      </c>
      <c r="E39" s="35" t="s">
        <v>35</v>
      </c>
      <c r="F39" s="35" t="s">
        <v>49</v>
      </c>
      <c r="G39" s="35" t="s">
        <v>59</v>
      </c>
      <c r="H39" s="35" t="s">
        <v>32</v>
      </c>
      <c r="I39" s="36">
        <v>820</v>
      </c>
      <c r="J39" s="37">
        <v>5</v>
      </c>
      <c r="K39" s="41">
        <f>listeVentes[[#This Row],[Prix de vente]]*listeVentes[[#This Row],[Quantité]]</f>
        <v>4100</v>
      </c>
      <c r="L39" s="2"/>
    </row>
    <row r="40" spans="1:12" ht="18" customHeight="1">
      <c r="A40" s="6"/>
      <c r="B40" s="2"/>
      <c r="C40" s="14">
        <f t="shared" si="0"/>
        <v>27</v>
      </c>
      <c r="D40" s="15">
        <v>44563</v>
      </c>
      <c r="E40" s="35" t="s">
        <v>35</v>
      </c>
      <c r="F40" s="35" t="s">
        <v>49</v>
      </c>
      <c r="G40" s="35" t="s">
        <v>59</v>
      </c>
      <c r="H40" s="35" t="s">
        <v>32</v>
      </c>
      <c r="I40" s="36">
        <v>800</v>
      </c>
      <c r="J40" s="37">
        <v>10</v>
      </c>
      <c r="K40" s="41">
        <f>listeVentes[[#This Row],[Prix de vente]]*listeVentes[[#This Row],[Quantité]]</f>
        <v>8000</v>
      </c>
      <c r="L40" s="2"/>
    </row>
    <row r="41" spans="1:12" ht="18" customHeight="1">
      <c r="A41" s="6"/>
      <c r="B41" s="2"/>
      <c r="C41" s="14">
        <f t="shared" si="0"/>
        <v>26</v>
      </c>
      <c r="D41" s="15">
        <v>44687</v>
      </c>
      <c r="E41" s="35" t="s">
        <v>53</v>
      </c>
      <c r="F41" s="35" t="s">
        <v>66</v>
      </c>
      <c r="G41" s="35" t="s">
        <v>58</v>
      </c>
      <c r="H41" s="35" t="s">
        <v>32</v>
      </c>
      <c r="I41" s="36">
        <v>1500</v>
      </c>
      <c r="J41" s="37">
        <v>12</v>
      </c>
      <c r="K41" s="41">
        <f>listeVentes[[#This Row],[Prix de vente]]*listeVentes[[#This Row],[Quantité]]</f>
        <v>18000</v>
      </c>
      <c r="L41" s="2"/>
    </row>
    <row r="42" spans="1:12" ht="18" customHeight="1">
      <c r="A42" s="6"/>
      <c r="B42" s="2"/>
      <c r="C42" s="14">
        <f t="shared" ref="C42:C62" si="1">C43+1</f>
        <v>25</v>
      </c>
      <c r="D42" s="15">
        <v>44655</v>
      </c>
      <c r="E42" s="35" t="s">
        <v>53</v>
      </c>
      <c r="F42" s="35" t="s">
        <v>66</v>
      </c>
      <c r="G42" s="35" t="s">
        <v>58</v>
      </c>
      <c r="H42" s="35" t="s">
        <v>32</v>
      </c>
      <c r="I42" s="36">
        <v>1500</v>
      </c>
      <c r="J42" s="37">
        <v>30</v>
      </c>
      <c r="K42" s="41">
        <f>listeVentes[[#This Row],[Prix de vente]]*listeVentes[[#This Row],[Quantité]]</f>
        <v>45000</v>
      </c>
      <c r="L42" s="2"/>
    </row>
    <row r="43" spans="1:12" ht="18" customHeight="1">
      <c r="A43" s="6"/>
      <c r="B43" s="2"/>
      <c r="C43" s="14">
        <f t="shared" si="1"/>
        <v>24</v>
      </c>
      <c r="D43" s="15">
        <v>44626</v>
      </c>
      <c r="E43" s="35" t="s">
        <v>53</v>
      </c>
      <c r="F43" s="35" t="s">
        <v>66</v>
      </c>
      <c r="G43" s="35" t="s">
        <v>58</v>
      </c>
      <c r="H43" s="35" t="s">
        <v>32</v>
      </c>
      <c r="I43" s="36">
        <v>1500</v>
      </c>
      <c r="J43" s="37">
        <v>15</v>
      </c>
      <c r="K43" s="41">
        <f>listeVentes[[#This Row],[Prix de vente]]*listeVentes[[#This Row],[Quantité]]</f>
        <v>22500</v>
      </c>
      <c r="L43" s="2"/>
    </row>
    <row r="44" spans="1:12" ht="18" customHeight="1">
      <c r="A44" s="6"/>
      <c r="B44" s="2"/>
      <c r="C44" s="14">
        <f t="shared" si="1"/>
        <v>23</v>
      </c>
      <c r="D44" s="15">
        <v>44594</v>
      </c>
      <c r="E44" s="35" t="s">
        <v>53</v>
      </c>
      <c r="F44" s="35" t="s">
        <v>66</v>
      </c>
      <c r="G44" s="35" t="s">
        <v>58</v>
      </c>
      <c r="H44" s="35" t="s">
        <v>32</v>
      </c>
      <c r="I44" s="36">
        <v>1500</v>
      </c>
      <c r="J44" s="37">
        <v>20</v>
      </c>
      <c r="K44" s="41">
        <f>listeVentes[[#This Row],[Prix de vente]]*listeVentes[[#This Row],[Quantité]]</f>
        <v>30000</v>
      </c>
      <c r="L44" s="2"/>
    </row>
    <row r="45" spans="1:12" ht="18" customHeight="1">
      <c r="A45" s="6"/>
      <c r="B45" s="2"/>
      <c r="C45" s="14">
        <f t="shared" si="1"/>
        <v>22</v>
      </c>
      <c r="D45" s="15">
        <v>44563</v>
      </c>
      <c r="E45" s="35" t="s">
        <v>53</v>
      </c>
      <c r="F45" s="35" t="s">
        <v>66</v>
      </c>
      <c r="G45" s="35" t="s">
        <v>58</v>
      </c>
      <c r="H45" s="35" t="s">
        <v>32</v>
      </c>
      <c r="I45" s="36">
        <v>1400</v>
      </c>
      <c r="J45" s="37">
        <v>10</v>
      </c>
      <c r="K45" s="41">
        <f>listeVentes[[#This Row],[Prix de vente]]*listeVentes[[#This Row],[Quantité]]</f>
        <v>14000</v>
      </c>
      <c r="L45" s="2"/>
    </row>
    <row r="46" spans="1:12" ht="18" customHeight="1">
      <c r="A46" s="6"/>
      <c r="B46" s="2"/>
      <c r="C46" s="14">
        <f t="shared" si="1"/>
        <v>21</v>
      </c>
      <c r="D46" s="15">
        <v>44687</v>
      </c>
      <c r="E46" s="35" t="s">
        <v>52</v>
      </c>
      <c r="F46" s="35" t="s">
        <v>51</v>
      </c>
      <c r="G46" s="35" t="s">
        <v>58</v>
      </c>
      <c r="H46" s="35" t="s">
        <v>32</v>
      </c>
      <c r="I46" s="36">
        <v>720</v>
      </c>
      <c r="J46" s="37">
        <v>23</v>
      </c>
      <c r="K46" s="41">
        <f>listeVentes[[#This Row],[Prix de vente]]*listeVentes[[#This Row],[Quantité]]</f>
        <v>16560</v>
      </c>
      <c r="L46" s="2"/>
    </row>
    <row r="47" spans="1:12" ht="18" customHeight="1">
      <c r="A47" s="6"/>
      <c r="B47" s="2"/>
      <c r="C47" s="14">
        <f t="shared" si="1"/>
        <v>20</v>
      </c>
      <c r="D47" s="15">
        <v>44660</v>
      </c>
      <c r="E47" s="35" t="s">
        <v>52</v>
      </c>
      <c r="F47" s="35" t="s">
        <v>51</v>
      </c>
      <c r="G47" s="35" t="s">
        <v>58</v>
      </c>
      <c r="H47" s="35" t="s">
        <v>32</v>
      </c>
      <c r="I47" s="36">
        <v>680</v>
      </c>
      <c r="J47" s="37">
        <v>2</v>
      </c>
      <c r="K47" s="41">
        <f>listeVentes[[#This Row],[Prix de vente]]*listeVentes[[#This Row],[Quantité]]</f>
        <v>1360</v>
      </c>
      <c r="L47" s="2"/>
    </row>
    <row r="48" spans="1:12" ht="18" customHeight="1">
      <c r="A48" s="6"/>
      <c r="B48" s="2"/>
      <c r="C48" s="14">
        <f t="shared" si="1"/>
        <v>19</v>
      </c>
      <c r="D48" s="15">
        <v>44626</v>
      </c>
      <c r="E48" s="35" t="s">
        <v>52</v>
      </c>
      <c r="F48" s="35" t="s">
        <v>51</v>
      </c>
      <c r="G48" s="35" t="s">
        <v>58</v>
      </c>
      <c r="H48" s="35" t="s">
        <v>32</v>
      </c>
      <c r="I48" s="36">
        <v>700</v>
      </c>
      <c r="J48" s="37">
        <v>20</v>
      </c>
      <c r="K48" s="41">
        <f>listeVentes[[#This Row],[Prix de vente]]*listeVentes[[#This Row],[Quantité]]</f>
        <v>14000</v>
      </c>
      <c r="L48" s="2"/>
    </row>
    <row r="49" spans="1:12" ht="18" customHeight="1">
      <c r="A49" s="6"/>
      <c r="B49" s="2"/>
      <c r="C49" s="14">
        <f t="shared" si="1"/>
        <v>18</v>
      </c>
      <c r="D49" s="15">
        <v>44614</v>
      </c>
      <c r="E49" s="35" t="s">
        <v>52</v>
      </c>
      <c r="F49" s="35" t="s">
        <v>51</v>
      </c>
      <c r="G49" s="35" t="s">
        <v>58</v>
      </c>
      <c r="H49" s="35" t="s">
        <v>32</v>
      </c>
      <c r="I49" s="36">
        <v>670</v>
      </c>
      <c r="J49" s="37">
        <v>5</v>
      </c>
      <c r="K49" s="41">
        <f>listeVentes[[#This Row],[Prix de vente]]*listeVentes[[#This Row],[Quantité]]</f>
        <v>3350</v>
      </c>
      <c r="L49" s="2"/>
    </row>
    <row r="50" spans="1:12" ht="18" customHeight="1">
      <c r="A50" s="6"/>
      <c r="B50" s="2"/>
      <c r="C50" s="14">
        <f t="shared" si="1"/>
        <v>17</v>
      </c>
      <c r="D50" s="15">
        <v>44587</v>
      </c>
      <c r="E50" s="35" t="s">
        <v>52</v>
      </c>
      <c r="F50" s="35" t="s">
        <v>51</v>
      </c>
      <c r="G50" s="35" t="s">
        <v>58</v>
      </c>
      <c r="H50" s="35" t="s">
        <v>32</v>
      </c>
      <c r="I50" s="36">
        <v>680</v>
      </c>
      <c r="J50" s="37">
        <v>8</v>
      </c>
      <c r="K50" s="41">
        <f>listeVentes[[#This Row],[Prix de vente]]*listeVentes[[#This Row],[Quantité]]</f>
        <v>5440</v>
      </c>
      <c r="L50" s="2"/>
    </row>
    <row r="51" spans="1:12" ht="18" customHeight="1">
      <c r="A51" s="6"/>
      <c r="B51" s="2"/>
      <c r="C51" s="14">
        <f t="shared" si="1"/>
        <v>16</v>
      </c>
      <c r="D51" s="15">
        <v>44673</v>
      </c>
      <c r="E51" s="35" t="s">
        <v>56</v>
      </c>
      <c r="F51" s="35" t="s">
        <v>18</v>
      </c>
      <c r="G51" s="35" t="s">
        <v>19</v>
      </c>
      <c r="H51" s="35" t="s">
        <v>22</v>
      </c>
      <c r="I51" s="36">
        <v>4.5999999999999996</v>
      </c>
      <c r="J51" s="37">
        <v>60</v>
      </c>
      <c r="K51" s="41">
        <f>listeVentes[[#This Row],[Prix de vente]]*listeVentes[[#This Row],[Quantité]]</f>
        <v>276</v>
      </c>
      <c r="L51" s="2"/>
    </row>
    <row r="52" spans="1:12" ht="18" customHeight="1">
      <c r="A52" s="6"/>
      <c r="B52" s="2"/>
      <c r="C52" s="14">
        <f t="shared" si="1"/>
        <v>15</v>
      </c>
      <c r="D52" s="15">
        <v>44652</v>
      </c>
      <c r="E52" s="35" t="s">
        <v>56</v>
      </c>
      <c r="F52" s="35" t="s">
        <v>18</v>
      </c>
      <c r="G52" s="35" t="s">
        <v>19</v>
      </c>
      <c r="H52" s="35" t="s">
        <v>22</v>
      </c>
      <c r="I52" s="36">
        <v>5</v>
      </c>
      <c r="J52" s="37">
        <v>60</v>
      </c>
      <c r="K52" s="41">
        <f>listeVentes[[#This Row],[Prix de vente]]*listeVentes[[#This Row],[Quantité]]</f>
        <v>300</v>
      </c>
      <c r="L52" s="2"/>
    </row>
    <row r="53" spans="1:12" ht="18" customHeight="1">
      <c r="A53" s="6"/>
      <c r="B53" s="2"/>
      <c r="C53" s="14">
        <f t="shared" si="1"/>
        <v>14</v>
      </c>
      <c r="D53" s="15">
        <v>44629</v>
      </c>
      <c r="E53" s="35" t="s">
        <v>56</v>
      </c>
      <c r="F53" s="35" t="s">
        <v>18</v>
      </c>
      <c r="G53" s="35" t="s">
        <v>19</v>
      </c>
      <c r="H53" s="35" t="s">
        <v>22</v>
      </c>
      <c r="I53" s="36">
        <v>5</v>
      </c>
      <c r="J53" s="37">
        <v>60</v>
      </c>
      <c r="K53" s="41">
        <f>listeVentes[[#This Row],[Prix de vente]]*listeVentes[[#This Row],[Quantité]]</f>
        <v>300</v>
      </c>
      <c r="L53" s="2"/>
    </row>
    <row r="54" spans="1:12" ht="18" customHeight="1">
      <c r="A54" s="6"/>
      <c r="B54" s="2"/>
      <c r="C54" s="14">
        <f t="shared" si="1"/>
        <v>13</v>
      </c>
      <c r="D54" s="15">
        <v>44598</v>
      </c>
      <c r="E54" s="35" t="s">
        <v>56</v>
      </c>
      <c r="F54" s="35" t="s">
        <v>18</v>
      </c>
      <c r="G54" s="35" t="s">
        <v>19</v>
      </c>
      <c r="H54" s="35" t="s">
        <v>22</v>
      </c>
      <c r="I54" s="36">
        <v>5</v>
      </c>
      <c r="J54" s="37">
        <v>12</v>
      </c>
      <c r="K54" s="41">
        <f>listeVentes[[#This Row],[Prix de vente]]*listeVentes[[#This Row],[Quantité]]</f>
        <v>60</v>
      </c>
      <c r="L54" s="2"/>
    </row>
    <row r="55" spans="1:12" ht="18" customHeight="1">
      <c r="A55" s="6"/>
      <c r="B55" s="2"/>
      <c r="C55" s="14">
        <f t="shared" si="1"/>
        <v>12</v>
      </c>
      <c r="D55" s="15">
        <v>44689</v>
      </c>
      <c r="E55" s="35" t="s">
        <v>55</v>
      </c>
      <c r="F55" s="35" t="s">
        <v>18</v>
      </c>
      <c r="G55" s="35" t="s">
        <v>19</v>
      </c>
      <c r="H55" s="35" t="s">
        <v>21</v>
      </c>
      <c r="I55" s="36">
        <v>3</v>
      </c>
      <c r="J55" s="37">
        <v>10</v>
      </c>
      <c r="K55" s="41">
        <f>listeVentes[[#This Row],[Prix de vente]]*listeVentes[[#This Row],[Quantité]]</f>
        <v>30</v>
      </c>
      <c r="L55" s="2"/>
    </row>
    <row r="56" spans="1:12" ht="18" customHeight="1">
      <c r="A56" s="6"/>
      <c r="B56" s="2"/>
      <c r="C56" s="14">
        <f t="shared" si="1"/>
        <v>11</v>
      </c>
      <c r="D56" s="15">
        <v>44656</v>
      </c>
      <c r="E56" s="35" t="s">
        <v>55</v>
      </c>
      <c r="F56" s="35" t="s">
        <v>18</v>
      </c>
      <c r="G56" s="35" t="s">
        <v>19</v>
      </c>
      <c r="H56" s="35" t="s">
        <v>21</v>
      </c>
      <c r="I56" s="36">
        <v>2.7</v>
      </c>
      <c r="J56" s="37">
        <v>15</v>
      </c>
      <c r="K56" s="41">
        <f>listeVentes[[#This Row],[Prix de vente]]*listeVentes[[#This Row],[Quantité]]</f>
        <v>40.5</v>
      </c>
      <c r="L56" s="2"/>
    </row>
    <row r="57" spans="1:12" ht="18" customHeight="1">
      <c r="A57" s="6"/>
      <c r="B57" s="2"/>
      <c r="C57" s="14">
        <f t="shared" si="1"/>
        <v>10</v>
      </c>
      <c r="D57" s="15">
        <v>44623</v>
      </c>
      <c r="E57" s="35" t="s">
        <v>55</v>
      </c>
      <c r="F57" s="35" t="s">
        <v>18</v>
      </c>
      <c r="G57" s="35" t="s">
        <v>19</v>
      </c>
      <c r="H57" s="35" t="s">
        <v>21</v>
      </c>
      <c r="I57" s="36">
        <v>2.6</v>
      </c>
      <c r="J57" s="37">
        <v>15</v>
      </c>
      <c r="K57" s="41">
        <f>listeVentes[[#This Row],[Prix de vente]]*listeVentes[[#This Row],[Quantité]]</f>
        <v>39</v>
      </c>
      <c r="L57" s="2"/>
    </row>
    <row r="58" spans="1:12" ht="18" customHeight="1">
      <c r="A58" s="6"/>
      <c r="B58" s="2"/>
      <c r="C58" s="14">
        <f t="shared" si="1"/>
        <v>9</v>
      </c>
      <c r="D58" s="15">
        <v>44595</v>
      </c>
      <c r="E58" s="35" t="s">
        <v>55</v>
      </c>
      <c r="F58" s="35" t="s">
        <v>18</v>
      </c>
      <c r="G58" s="35" t="s">
        <v>19</v>
      </c>
      <c r="H58" s="35" t="s">
        <v>21</v>
      </c>
      <c r="I58" s="36">
        <v>2.5</v>
      </c>
      <c r="J58" s="37">
        <v>2</v>
      </c>
      <c r="K58" s="41">
        <f>listeVentes[[#This Row],[Prix de vente]]*listeVentes[[#This Row],[Quantité]]</f>
        <v>5</v>
      </c>
      <c r="L58" s="2"/>
    </row>
    <row r="59" spans="1:12" ht="18" customHeight="1">
      <c r="A59" s="6"/>
      <c r="B59" s="2"/>
      <c r="C59" s="14">
        <f t="shared" si="1"/>
        <v>8</v>
      </c>
      <c r="D59" s="15">
        <v>44703</v>
      </c>
      <c r="E59" s="35" t="s">
        <v>54</v>
      </c>
      <c r="F59" s="35" t="s">
        <v>18</v>
      </c>
      <c r="G59" s="35" t="s">
        <v>19</v>
      </c>
      <c r="H59" s="35" t="s">
        <v>20</v>
      </c>
      <c r="I59" s="36">
        <v>0.3</v>
      </c>
      <c r="J59" s="37">
        <v>4</v>
      </c>
      <c r="K59" s="41">
        <f>listeVentes[[#This Row],[Prix de vente]]*listeVentes[[#This Row],[Quantité]]</f>
        <v>1.2</v>
      </c>
      <c r="L59" s="2"/>
    </row>
    <row r="60" spans="1:12" ht="18" customHeight="1">
      <c r="A60" s="6"/>
      <c r="B60" s="2"/>
      <c r="C60" s="14">
        <f t="shared" si="1"/>
        <v>7</v>
      </c>
      <c r="D60" s="15">
        <v>44655</v>
      </c>
      <c r="E60" s="35" t="s">
        <v>54</v>
      </c>
      <c r="F60" s="35" t="s">
        <v>18</v>
      </c>
      <c r="G60" s="35" t="s">
        <v>19</v>
      </c>
      <c r="H60" s="35" t="s">
        <v>20</v>
      </c>
      <c r="I60" s="36">
        <v>0.3</v>
      </c>
      <c r="J60" s="37">
        <v>15</v>
      </c>
      <c r="K60" s="41">
        <f>listeVentes[[#This Row],[Prix de vente]]*listeVentes[[#This Row],[Quantité]]</f>
        <v>4.5</v>
      </c>
      <c r="L60" s="2"/>
    </row>
    <row r="61" spans="1:12" ht="18" customHeight="1">
      <c r="A61" s="6"/>
      <c r="B61" s="2"/>
      <c r="C61" s="14">
        <f t="shared" si="1"/>
        <v>6</v>
      </c>
      <c r="D61" s="15">
        <v>44626</v>
      </c>
      <c r="E61" s="35" t="s">
        <v>54</v>
      </c>
      <c r="F61" s="35" t="s">
        <v>18</v>
      </c>
      <c r="G61" s="35" t="s">
        <v>19</v>
      </c>
      <c r="H61" s="35" t="s">
        <v>20</v>
      </c>
      <c r="I61" s="36">
        <v>0.3</v>
      </c>
      <c r="J61" s="37">
        <v>20</v>
      </c>
      <c r="K61" s="41">
        <f>listeVentes[[#This Row],[Prix de vente]]*listeVentes[[#This Row],[Quantité]]</f>
        <v>6</v>
      </c>
      <c r="L61" s="2"/>
    </row>
    <row r="62" spans="1:12" ht="18" customHeight="1">
      <c r="A62" s="6"/>
      <c r="B62" s="2"/>
      <c r="C62" s="14">
        <f t="shared" si="1"/>
        <v>5</v>
      </c>
      <c r="D62" s="15">
        <v>44597</v>
      </c>
      <c r="E62" s="35" t="s">
        <v>54</v>
      </c>
      <c r="F62" s="35" t="s">
        <v>18</v>
      </c>
      <c r="G62" s="35" t="s">
        <v>19</v>
      </c>
      <c r="H62" s="35" t="s">
        <v>20</v>
      </c>
      <c r="I62" s="36">
        <v>0.3</v>
      </c>
      <c r="J62" s="37">
        <v>15</v>
      </c>
      <c r="K62" s="41">
        <f>listeVentes[[#This Row],[Prix de vente]]*listeVentes[[#This Row],[Quantité]]</f>
        <v>4.5</v>
      </c>
      <c r="L62" s="2"/>
    </row>
    <row r="63" spans="1:12" ht="18" customHeight="1">
      <c r="A63" s="6"/>
      <c r="B63" s="2"/>
      <c r="C63" s="14">
        <v>4</v>
      </c>
      <c r="D63" s="15">
        <v>44584</v>
      </c>
      <c r="E63" s="35" t="s">
        <v>55</v>
      </c>
      <c r="F63" s="12" t="s">
        <v>18</v>
      </c>
      <c r="G63" s="12" t="s">
        <v>19</v>
      </c>
      <c r="H63" s="12" t="s">
        <v>21</v>
      </c>
      <c r="I63" s="36">
        <v>3</v>
      </c>
      <c r="J63" s="37">
        <v>6</v>
      </c>
      <c r="K63" s="13">
        <f>listeVentes[[#This Row],[Prix de vente]]*listeVentes[[#This Row],[Quantité]]</f>
        <v>18</v>
      </c>
      <c r="L63" s="2"/>
    </row>
    <row r="64" spans="1:12" ht="18" customHeight="1">
      <c r="A64" s="6"/>
      <c r="B64" s="2"/>
      <c r="C64" s="14">
        <v>3</v>
      </c>
      <c r="D64" s="15">
        <v>44582</v>
      </c>
      <c r="E64" s="12" t="s">
        <v>54</v>
      </c>
      <c r="F64" s="12" t="s">
        <v>18</v>
      </c>
      <c r="G64" s="12" t="s">
        <v>19</v>
      </c>
      <c r="H64" s="12" t="s">
        <v>20</v>
      </c>
      <c r="I64" s="13">
        <v>0.3</v>
      </c>
      <c r="J64" s="12">
        <v>5</v>
      </c>
      <c r="K64" s="13">
        <f>listeVentes[[#This Row],[Prix de vente]]*listeVentes[[#This Row],[Quantité]]</f>
        <v>1.5</v>
      </c>
      <c r="L64" s="2"/>
    </row>
    <row r="65" spans="1:12" ht="18" customHeight="1">
      <c r="A65" s="6"/>
      <c r="B65" s="2"/>
      <c r="C65" s="14">
        <v>2</v>
      </c>
      <c r="D65" s="15">
        <v>44578</v>
      </c>
      <c r="E65" s="12" t="s">
        <v>55</v>
      </c>
      <c r="F65" s="12" t="s">
        <v>18</v>
      </c>
      <c r="G65" s="12" t="s">
        <v>19</v>
      </c>
      <c r="H65" s="12" t="s">
        <v>21</v>
      </c>
      <c r="I65" s="13">
        <v>2.2000000000000002</v>
      </c>
      <c r="J65" s="12">
        <v>6</v>
      </c>
      <c r="K65" s="13">
        <f>listeVentes[[#This Row],[Prix de vente]]*listeVentes[[#This Row],[Quantité]]</f>
        <v>13.200000000000001</v>
      </c>
      <c r="L65" s="2"/>
    </row>
    <row r="66" spans="1:12" ht="18" customHeight="1">
      <c r="B66" s="2"/>
      <c r="C66" s="14">
        <v>1</v>
      </c>
      <c r="D66" s="15">
        <v>44571</v>
      </c>
      <c r="E66" s="12" t="s">
        <v>56</v>
      </c>
      <c r="F66" s="12" t="s">
        <v>18</v>
      </c>
      <c r="G66" s="12" t="s">
        <v>19</v>
      </c>
      <c r="H66" s="12" t="s">
        <v>22</v>
      </c>
      <c r="I66" s="13">
        <v>4.2</v>
      </c>
      <c r="J66" s="12">
        <v>3</v>
      </c>
      <c r="K66" s="13">
        <f>listeVentes[[#This Row],[Prix de vente]]*listeVentes[[#This Row],[Quantité]]</f>
        <v>12.600000000000001</v>
      </c>
      <c r="L66" s="2"/>
    </row>
    <row r="67" spans="1:12" ht="18" customHeight="1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</row>
    <row r="68" spans="1:12" ht="18" customHeight="1"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</row>
    <row r="69" spans="1:12" ht="18" customHeight="1"/>
    <row r="70" spans="1:12" ht="19.95" customHeight="1"/>
  </sheetData>
  <mergeCells count="2">
    <mergeCell ref="C3:K3"/>
    <mergeCell ref="C4:J4"/>
  </mergeCells>
  <dataValidations count="1">
    <dataValidation type="date" operator="greaterThan" allowBlank="1" showInputMessage="1" showErrorMessage="1" error="Veuillez saisir une date correcte" sqref="D7:D63" xr:uid="{F2FDCC16-73A3-4195-9F6E-0D4642AA913B}">
      <formula1>44561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A2B48-77C5-4F10-95A2-5FF5376E5E3D}">
  <sheetPr codeName="Feuil11"/>
  <dimension ref="A1:S20"/>
  <sheetViews>
    <sheetView topLeftCell="C1" zoomScale="115" zoomScaleNormal="115" workbookViewId="0">
      <selection activeCell="C7" sqref="C7"/>
    </sheetView>
  </sheetViews>
  <sheetFormatPr baseColWidth="10" defaultColWidth="8.89453125" defaultRowHeight="14.4"/>
  <cols>
    <col min="1" max="2" width="3.7890625" style="1" customWidth="1"/>
    <col min="3" max="3" width="11.41796875" style="1" customWidth="1"/>
    <col min="4" max="4" width="25.41796875" style="1" customWidth="1"/>
    <col min="5" max="5" width="14.41796875" style="1" customWidth="1"/>
    <col min="6" max="6" width="16.20703125" style="1" customWidth="1"/>
    <col min="7" max="7" width="13.5234375" style="1" customWidth="1"/>
    <col min="8" max="8" width="12.89453125" style="1" customWidth="1"/>
    <col min="9" max="9" width="9.41796875" style="1" customWidth="1"/>
    <col min="10" max="10" width="8.68359375" style="1" customWidth="1"/>
    <col min="11" max="11" width="12" style="1" customWidth="1"/>
    <col min="12" max="12" width="12.5234375" style="1" customWidth="1"/>
    <col min="13" max="13" width="13.1015625" style="1" customWidth="1"/>
    <col min="14" max="14" width="13.20703125" style="1" customWidth="1"/>
    <col min="15" max="15" width="3.7890625" style="1" customWidth="1"/>
    <col min="16" max="27" width="12.7890625" style="1" customWidth="1"/>
    <col min="28" max="16384" width="8.89453125" style="1"/>
  </cols>
  <sheetData>
    <row r="1" spans="1:19" ht="18.600000000000001" customHeight="1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</row>
    <row r="2" spans="1:19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</row>
    <row r="3" spans="1:19" ht="21.6" customHeight="1">
      <c r="A3" s="5"/>
      <c r="B3" s="2"/>
      <c r="C3" s="56" t="s">
        <v>34</v>
      </c>
      <c r="D3" s="56"/>
      <c r="E3" s="22"/>
      <c r="F3" s="22"/>
      <c r="G3" s="22"/>
      <c r="H3" s="54"/>
      <c r="I3" s="54"/>
      <c r="J3" s="22"/>
      <c r="K3" s="22"/>
      <c r="L3" s="22"/>
      <c r="M3" s="22"/>
      <c r="N3" s="22"/>
      <c r="O3" s="3"/>
      <c r="P3" s="5"/>
      <c r="Q3" s="5"/>
      <c r="R3" s="5"/>
      <c r="S3" s="5"/>
    </row>
    <row r="4" spans="1:19" ht="15" customHeight="1">
      <c r="B4" s="2"/>
      <c r="C4" s="56"/>
      <c r="D4" s="56"/>
      <c r="E4" s="23"/>
      <c r="F4" s="23"/>
      <c r="G4" s="23"/>
      <c r="H4" s="55"/>
      <c r="I4" s="55"/>
      <c r="J4" s="55"/>
      <c r="K4" s="22"/>
      <c r="L4" s="22"/>
      <c r="M4" s="22"/>
      <c r="N4" s="22"/>
      <c r="O4" s="3"/>
    </row>
    <row r="5" spans="1:19" ht="18" customHeight="1">
      <c r="A5" s="6"/>
      <c r="B5" s="2"/>
      <c r="C5" s="16" t="s">
        <v>14</v>
      </c>
      <c r="D5" s="17" t="s">
        <v>0</v>
      </c>
      <c r="E5" s="17" t="s">
        <v>15</v>
      </c>
      <c r="F5" s="17" t="s">
        <v>8</v>
      </c>
      <c r="G5" s="17" t="s">
        <v>3</v>
      </c>
      <c r="H5" s="17" t="s">
        <v>10</v>
      </c>
      <c r="I5" s="17" t="s">
        <v>12</v>
      </c>
      <c r="J5" s="17" t="s">
        <v>13</v>
      </c>
      <c r="K5" s="17" t="s">
        <v>11</v>
      </c>
      <c r="L5" s="17" t="s">
        <v>37</v>
      </c>
      <c r="M5" s="17" t="s">
        <v>4</v>
      </c>
      <c r="N5" s="18" t="s">
        <v>16</v>
      </c>
      <c r="O5" s="2"/>
    </row>
    <row r="6" spans="1:19" ht="18" customHeight="1">
      <c r="A6" s="6"/>
      <c r="B6" s="2"/>
      <c r="C6" s="24" t="s">
        <v>52</v>
      </c>
      <c r="D6" s="19" t="str">
        <f>IFERROR(VLOOKUP(listeInventaire[[#This Row],[Référence]],listeProduits[],2,FALSE),"")</f>
        <v>GOOGLE PIXEL 5</v>
      </c>
      <c r="E6" s="19" t="str">
        <f>IFERROR(VLOOKUP(listeInventaire[[#This Row],[Référence]],listeProduits[],3,FALSE),"")</f>
        <v>SmartPhone</v>
      </c>
      <c r="F6" s="19" t="str">
        <f>IFERROR(VLOOKUP(listeInventaire[[#This Row],[Référence]],listeProduits[],4,FALSE),"")</f>
        <v>1 unité</v>
      </c>
      <c r="G6" s="21">
        <f>IFERROR(VLOOKUP(listeInventaire[[#This Row],[Référence]],listeProduits[],5,FALSE),"")</f>
        <v>10</v>
      </c>
      <c r="H6" s="21">
        <f>IFERROR(VLOOKUP(listeInventaire[[#This Row],[Référence]],listeProduits[],6,FALSE),"")</f>
        <v>20</v>
      </c>
      <c r="I6" s="21">
        <f>SUMIF(listeAchats[Référence],listeInventaire[[#This Row],[Référence]],listeAchats[Quantité])</f>
        <v>55</v>
      </c>
      <c r="J6" s="21">
        <f>SUMIF(listeVentes[Référence],listeInventaire[[#This Row],[Référence]],listeVentes[Quantité])</f>
        <v>60</v>
      </c>
      <c r="K6" s="21">
        <f>IFERROR(listeInventaire[[#This Row],[Stock initial]]+listeInventaire[[#This Row],[Entrées]]-listeInventaire[[#This Row],[Sorties]],"")</f>
        <v>15</v>
      </c>
      <c r="L6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599.4666666666667</v>
      </c>
      <c r="M6" s="20">
        <f>IFERROR(listeInventaire[[#This Row],[Stock final]]*listeInventaire[[#This Row],[CUMP]],"")</f>
        <v>8992</v>
      </c>
      <c r="N6" s="19" t="str">
        <f>IF(listeInventaire[[#This Row],[Stock final]]&gt;listeInventaire[[#This Row],[Seuil d''alerte]],"Stock normal",IF(listeInventaire[[#This Row],[Stock final]]=0,"Non disponible","Stock faible"))</f>
        <v>Stock normal</v>
      </c>
      <c r="O6" s="2"/>
    </row>
    <row r="7" spans="1:19" ht="18" customHeight="1">
      <c r="A7" s="6"/>
      <c r="B7" s="2"/>
      <c r="C7" s="24" t="s">
        <v>53</v>
      </c>
      <c r="D7" s="19" t="str">
        <f>IFERROR(VLOOKUP(listeInventaire[[#This Row],[Référence]],listeProduits[],2,FALSE),"")</f>
        <v>IPHONE 13 PRO</v>
      </c>
      <c r="E7" s="19" t="str">
        <f>IFERROR(VLOOKUP(listeInventaire[[#This Row],[Référence]],listeProduits[],3,FALSE),"")</f>
        <v>SmartPhone</v>
      </c>
      <c r="F7" s="19" t="str">
        <f>IFERROR(VLOOKUP(listeInventaire[[#This Row],[Référence]],listeProduits[],4,FALSE),"")</f>
        <v>1 unité</v>
      </c>
      <c r="G7" s="21">
        <f>IFERROR(VLOOKUP(listeInventaire[[#This Row],[Référence]],listeProduits[],5,FALSE),"")</f>
        <v>10</v>
      </c>
      <c r="H7" s="21">
        <f>IFERROR(VLOOKUP(listeInventaire[[#This Row],[Référence]],listeProduits[],6,FALSE),"")</f>
        <v>3</v>
      </c>
      <c r="I7" s="21">
        <f>SUMIF(listeAchats[Référence],listeInventaire[[#This Row],[Référence]],listeAchats[Quantité])</f>
        <v>96</v>
      </c>
      <c r="J7" s="21">
        <f>SUMIF(listeVentes[Référence],listeInventaire[[#This Row],[Référence]],listeVentes[Quantité])</f>
        <v>87</v>
      </c>
      <c r="K7" s="21">
        <f>IFERROR(listeInventaire[[#This Row],[Stock initial]]+listeInventaire[[#This Row],[Entrées]]-listeInventaire[[#This Row],[Sorties]],"")</f>
        <v>12</v>
      </c>
      <c r="L7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1400</v>
      </c>
      <c r="M7" s="20">
        <f>IFERROR(listeInventaire[[#This Row],[Stock final]]*listeInventaire[[#This Row],[CUMP]],"")</f>
        <v>16800</v>
      </c>
      <c r="N7" s="19" t="str">
        <f>IF(listeInventaire[[#This Row],[Stock final]]&gt;listeInventaire[[#This Row],[Seuil d''alerte]],"Stock normal",IF(listeInventaire[[#This Row],[Stock final]]=0,"Non disponible","Stock faible"))</f>
        <v>Stock normal</v>
      </c>
      <c r="O7" s="2"/>
    </row>
    <row r="8" spans="1:19" ht="18" customHeight="1">
      <c r="B8" s="2"/>
      <c r="C8" s="24" t="s">
        <v>54</v>
      </c>
      <c r="D8" s="19" t="str">
        <f>IFERROR(VLOOKUP(listeInventaire[[#This Row],[Référence]],listeProduits[],2,FALSE),"")</f>
        <v>Oreo</v>
      </c>
      <c r="E8" s="19" t="str">
        <f>IFERROR(VLOOKUP(listeInventaire[[#This Row],[Référence]],listeProduits[],3,FALSE),"")</f>
        <v xml:space="preserve">Biscuits </v>
      </c>
      <c r="F8" s="19" t="str">
        <f>IFERROR(VLOOKUP(listeInventaire[[#This Row],[Référence]],listeProduits[],4,FALSE),"")</f>
        <v xml:space="preserve">1 unité </v>
      </c>
      <c r="G8" s="21">
        <f>IFERROR(VLOOKUP(listeInventaire[[#This Row],[Référence]],listeProduits[],5,FALSE),"")</f>
        <v>10</v>
      </c>
      <c r="H8" s="21">
        <f>IFERROR(VLOOKUP(listeInventaire[[#This Row],[Référence]],listeProduits[],6,FALSE),"")</f>
        <v>10</v>
      </c>
      <c r="I8" s="21">
        <f>SUMIF(listeAchats[Référence],listeInventaire[[#This Row],[Référence]],listeAchats[Quantité])</f>
        <v>95</v>
      </c>
      <c r="J8" s="21">
        <f>SUMIF(listeVentes[Référence],listeInventaire[[#This Row],[Référence]],listeVentes[Quantité])</f>
        <v>79</v>
      </c>
      <c r="K8" s="21">
        <f>IFERROR(listeInventaire[[#This Row],[Stock initial]]+listeInventaire[[#This Row],[Entrées]]-listeInventaire[[#This Row],[Sorties]],"")</f>
        <v>26</v>
      </c>
      <c r="L8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0.20904761904761907</v>
      </c>
      <c r="M8" s="20">
        <f>IFERROR(listeInventaire[[#This Row],[Stock final]]*listeInventaire[[#This Row],[CUMP]],"")</f>
        <v>5.4352380952380956</v>
      </c>
      <c r="N8" s="19" t="str">
        <f>IF(listeInventaire[[#This Row],[Stock final]]&gt;listeInventaire[[#This Row],[Seuil d''alerte]],"Stock normal",IF(listeInventaire[[#This Row],[Stock final]]=0,"Non disponible","Stock faible"))</f>
        <v>Stock normal</v>
      </c>
      <c r="O8" s="2"/>
    </row>
    <row r="9" spans="1:19" ht="18" customHeight="1">
      <c r="B9" s="2"/>
      <c r="C9" s="24" t="s">
        <v>55</v>
      </c>
      <c r="D9" s="19" t="str">
        <f>IFERROR(VLOOKUP(listeInventaire[[#This Row],[Référence]],listeProduits[],2,FALSE),"")</f>
        <v>Oreo</v>
      </c>
      <c r="E9" s="19" t="str">
        <f>IFERROR(VLOOKUP(listeInventaire[[#This Row],[Référence]],listeProduits[],3,FALSE),"")</f>
        <v xml:space="preserve">Biscuits </v>
      </c>
      <c r="F9" s="19" t="str">
        <f>IFERROR(VLOOKUP(listeInventaire[[#This Row],[Référence]],listeProduits[],4,FALSE),"")</f>
        <v>Pack de 10 unités</v>
      </c>
      <c r="G9" s="21">
        <f>IFERROR(VLOOKUP(listeInventaire[[#This Row],[Référence]],listeProduits[],5,FALSE),"")</f>
        <v>50</v>
      </c>
      <c r="H9" s="21">
        <f>IFERROR(VLOOKUP(listeInventaire[[#This Row],[Référence]],listeProduits[],6,FALSE),"")</f>
        <v>15</v>
      </c>
      <c r="I9" s="21">
        <f>SUMIF(listeAchats[Référence],listeInventaire[[#This Row],[Référence]],listeAchats[Quantité])</f>
        <v>147</v>
      </c>
      <c r="J9" s="21">
        <f>SUMIF(listeVentes[Référence],listeInventaire[[#This Row],[Référence]],listeVentes[Quantité])</f>
        <v>64</v>
      </c>
      <c r="K9" s="21">
        <f>IFERROR(listeInventaire[[#This Row],[Stock initial]]+listeInventaire[[#This Row],[Entrées]]-listeInventaire[[#This Row],[Sorties]],"")</f>
        <v>98</v>
      </c>
      <c r="L9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2</v>
      </c>
      <c r="M9" s="20">
        <f>IFERROR(listeInventaire[[#This Row],[Stock final]]*listeInventaire[[#This Row],[CUMP]],"")</f>
        <v>196</v>
      </c>
      <c r="N9" s="19" t="str">
        <f>IF(listeInventaire[[#This Row],[Stock final]]&gt;listeInventaire[[#This Row],[Seuil d''alerte]],"Stock normal",IF(listeInventaire[[#This Row],[Stock final]]=0,"Non disponible","Stock faible"))</f>
        <v>Stock normal</v>
      </c>
      <c r="O9" s="2"/>
    </row>
    <row r="10" spans="1:19" ht="18" customHeight="1">
      <c r="B10" s="2"/>
      <c r="C10" s="24" t="s">
        <v>56</v>
      </c>
      <c r="D10" s="19" t="str">
        <f>IFERROR(VLOOKUP(listeInventaire[[#This Row],[Référence]],listeProduits[],2,FALSE),"")</f>
        <v>Oreo</v>
      </c>
      <c r="E10" s="19" t="str">
        <f>IFERROR(VLOOKUP(listeInventaire[[#This Row],[Référence]],listeProduits[],3,FALSE),"")</f>
        <v xml:space="preserve">Biscuits </v>
      </c>
      <c r="F10" s="19" t="str">
        <f>IFERROR(VLOOKUP(listeInventaire[[#This Row],[Référence]],listeProduits[],4,FALSE),"")</f>
        <v>Pack de 20 unités</v>
      </c>
      <c r="G10" s="21">
        <f>IFERROR(VLOOKUP(listeInventaire[[#This Row],[Référence]],listeProduits[],5,FALSE),"")</f>
        <v>20</v>
      </c>
      <c r="H10" s="21">
        <f>IFERROR(VLOOKUP(listeInventaire[[#This Row],[Référence]],listeProduits[],6,FALSE),"")</f>
        <v>5</v>
      </c>
      <c r="I10" s="21">
        <f>SUMIF(listeAchats[Référence],listeInventaire[[#This Row],[Référence]],listeAchats[Quantité])</f>
        <v>320</v>
      </c>
      <c r="J10" s="21">
        <f>SUMIF(listeVentes[Référence],listeInventaire[[#This Row],[Référence]],listeVentes[Quantité])</f>
        <v>195</v>
      </c>
      <c r="K10" s="21">
        <f>IFERROR(listeInventaire[[#This Row],[Stock initial]]+listeInventaire[[#This Row],[Entrées]]-listeInventaire[[#This Row],[Sorties]],"")</f>
        <v>130</v>
      </c>
      <c r="L10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4</v>
      </c>
      <c r="M10" s="20">
        <f>IFERROR(listeInventaire[[#This Row],[Stock final]]*listeInventaire[[#This Row],[CUMP]],"")</f>
        <v>520</v>
      </c>
      <c r="N10" s="19" t="str">
        <f>IF(listeInventaire[[#This Row],[Stock final]]&gt;listeInventaire[[#This Row],[Seuil d''alerte]],"Stock normal",IF(listeInventaire[[#This Row],[Stock final]]=0,"Non disponible","Stock faible"))</f>
        <v>Stock normal</v>
      </c>
      <c r="O10" s="2"/>
    </row>
    <row r="11" spans="1:19" ht="18" customHeight="1">
      <c r="B11" s="2"/>
      <c r="C11" s="24" t="s">
        <v>38</v>
      </c>
      <c r="D11" s="19" t="str">
        <f>IFERROR(VLOOKUP(listeInventaire[[#This Row],[Référence]],listeProduits[],2,FALSE),"")</f>
        <v>Réfrigérateur WHIRLPOOL</v>
      </c>
      <c r="E11" s="19" t="str">
        <f>IFERROR(VLOOKUP(listeInventaire[[#This Row],[Référence]],listeProduits[],3,FALSE),"")</f>
        <v>Electro</v>
      </c>
      <c r="F11" s="19" t="str">
        <f>IFERROR(VLOOKUP(listeInventaire[[#This Row],[Référence]],listeProduits[],4,FALSE),"")</f>
        <v>1 unité</v>
      </c>
      <c r="G11" s="21">
        <f>IFERROR(VLOOKUP(listeInventaire[[#This Row],[Référence]],listeProduits[],5,FALSE),"")</f>
        <v>10</v>
      </c>
      <c r="H11" s="21">
        <f>IFERROR(VLOOKUP(listeInventaire[[#This Row],[Référence]],listeProduits[],6,FALSE),"")</f>
        <v>5</v>
      </c>
      <c r="I11" s="21">
        <f>SUMIF(listeAchats[Référence],listeInventaire[[#This Row],[Référence]],listeAchats[Quantité])</f>
        <v>24</v>
      </c>
      <c r="J11" s="21">
        <f>SUMIF(listeVentes[Référence],listeInventaire[[#This Row],[Référence]],listeVentes[Quantité])</f>
        <v>21</v>
      </c>
      <c r="K11" s="21">
        <f>IFERROR(listeInventaire[[#This Row],[Stock initial]]+listeInventaire[[#This Row],[Entrées]]-listeInventaire[[#This Row],[Sorties]],"")</f>
        <v>8</v>
      </c>
      <c r="L11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700</v>
      </c>
      <c r="M11" s="20">
        <f>IFERROR(listeInventaire[[#This Row],[Stock final]]*listeInventaire[[#This Row],[CUMP]],"")</f>
        <v>5600</v>
      </c>
      <c r="N11" s="19" t="str">
        <f>IF(listeInventaire[[#This Row],[Stock final]]&gt;listeInventaire[[#This Row],[Seuil d''alerte]],"Stock normal",IF(listeInventaire[[#This Row],[Stock final]]=0,"Non disponible","Stock faible"))</f>
        <v>Stock faible</v>
      </c>
      <c r="O11" s="2"/>
    </row>
    <row r="12" spans="1:19" ht="18" customHeight="1">
      <c r="B12" s="2"/>
      <c r="C12" s="24" t="s">
        <v>39</v>
      </c>
      <c r="D12" s="19" t="str">
        <f>IFERROR(VLOOKUP(listeInventaire[[#This Row],[Référence]],listeProduits[],2,FALSE),"")</f>
        <v>Réfrigérateur SIERA</v>
      </c>
      <c r="E12" s="19" t="str">
        <f>IFERROR(VLOOKUP(listeInventaire[[#This Row],[Référence]],listeProduits[],3,FALSE),"")</f>
        <v>Electro</v>
      </c>
      <c r="F12" s="19" t="str">
        <f>IFERROR(VLOOKUP(listeInventaire[[#This Row],[Référence]],listeProduits[],4,FALSE),"")</f>
        <v>1 unité</v>
      </c>
      <c r="G12" s="21">
        <f>IFERROR(VLOOKUP(listeInventaire[[#This Row],[Référence]],listeProduits[],5,FALSE),"")</f>
        <v>10</v>
      </c>
      <c r="H12" s="21">
        <f>IFERROR(VLOOKUP(listeInventaire[[#This Row],[Référence]],listeProduits[],6,FALSE),"")</f>
        <v>3</v>
      </c>
      <c r="I12" s="21">
        <f>SUMIF(listeAchats[Référence],listeInventaire[[#This Row],[Référence]],listeAchats[Quantité])</f>
        <v>40</v>
      </c>
      <c r="J12" s="21">
        <f>SUMIF(listeVentes[Référence],listeInventaire[[#This Row],[Référence]],listeVentes[Quantité])</f>
        <v>24</v>
      </c>
      <c r="K12" s="21">
        <f>IFERROR(listeInventaire[[#This Row],[Stock initial]]+listeInventaire[[#This Row],[Entrées]]-listeInventaire[[#This Row],[Sorties]],"")</f>
        <v>19</v>
      </c>
      <c r="L12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300</v>
      </c>
      <c r="M12" s="20">
        <f>IFERROR(listeInventaire[[#This Row],[Stock final]]*listeInventaire[[#This Row],[CUMP]],"")</f>
        <v>5700</v>
      </c>
      <c r="N12" s="19" t="str">
        <f>IF(listeInventaire[[#This Row],[Stock final]]&gt;listeInventaire[[#This Row],[Seuil d''alerte]],"Stock normal",IF(listeInventaire[[#This Row],[Stock final]]=0,"Non disponible","Stock faible"))</f>
        <v>Stock normal</v>
      </c>
      <c r="O12" s="2"/>
    </row>
    <row r="13" spans="1:19" ht="19.95" customHeight="1">
      <c r="B13" s="2"/>
      <c r="C13" s="24" t="s">
        <v>40</v>
      </c>
      <c r="D13" s="19" t="str">
        <f>IFERROR(VLOOKUP(listeInventaire[[#This Row],[Référence]],listeProduits[],2,FALSE),"")</f>
        <v>Cuisinière SIERA</v>
      </c>
      <c r="E13" s="19" t="str">
        <f>IFERROR(VLOOKUP(listeInventaire[[#This Row],[Référence]],listeProduits[],3,FALSE),"")</f>
        <v>Electro</v>
      </c>
      <c r="F13" s="19" t="str">
        <f>IFERROR(VLOOKUP(listeInventaire[[#This Row],[Référence]],listeProduits[],4,FALSE),"")</f>
        <v>1 unité</v>
      </c>
      <c r="G13" s="21">
        <f>IFERROR(VLOOKUP(listeInventaire[[#This Row],[Référence]],listeProduits[],5,FALSE),"")</f>
        <v>10</v>
      </c>
      <c r="H13" s="21">
        <f>IFERROR(VLOOKUP(listeInventaire[[#This Row],[Référence]],listeProduits[],6,FALSE),"")</f>
        <v>6</v>
      </c>
      <c r="I13" s="21">
        <f>SUMIF(listeAchats[Référence],listeInventaire[[#This Row],[Référence]],listeAchats[Quantité])</f>
        <v>65</v>
      </c>
      <c r="J13" s="21">
        <f>SUMIF(listeVentes[Référence],listeInventaire[[#This Row],[Référence]],listeVentes[Quantité])</f>
        <v>28</v>
      </c>
      <c r="K13" s="21">
        <f>IFERROR(listeInventaire[[#This Row],[Stock initial]]+listeInventaire[[#This Row],[Entrées]]-listeInventaire[[#This Row],[Sorties]],"")</f>
        <v>43</v>
      </c>
      <c r="L13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150</v>
      </c>
      <c r="M13" s="20">
        <f>IFERROR(listeInventaire[[#This Row],[Stock final]]*listeInventaire[[#This Row],[CUMP]],"")</f>
        <v>6450</v>
      </c>
      <c r="N13" s="19" t="str">
        <f>IF(listeInventaire[[#This Row],[Stock final]]&gt;listeInventaire[[#This Row],[Seuil d''alerte]],"Stock normal",IF(listeInventaire[[#This Row],[Stock final]]=0,"Non disponible","Stock faible"))</f>
        <v>Stock normal</v>
      </c>
      <c r="O13" s="2"/>
    </row>
    <row r="14" spans="1:19" ht="19.95" customHeight="1">
      <c r="B14" s="2"/>
      <c r="C14" s="24" t="s">
        <v>41</v>
      </c>
      <c r="D14" s="19" t="str">
        <f>IFERROR(VLOOKUP(listeInventaire[[#This Row],[Référence]],listeProduits[],2,FALSE),"")</f>
        <v>Cuisinière CANDY</v>
      </c>
      <c r="E14" s="19" t="str">
        <f>IFERROR(VLOOKUP(listeInventaire[[#This Row],[Référence]],listeProduits[],3,FALSE),"")</f>
        <v>Electro</v>
      </c>
      <c r="F14" s="19" t="str">
        <f>IFERROR(VLOOKUP(listeInventaire[[#This Row],[Référence]],listeProduits[],4,FALSE),"")</f>
        <v>1 unité</v>
      </c>
      <c r="G14" s="21">
        <f>IFERROR(VLOOKUP(listeInventaire[[#This Row],[Référence]],listeProduits[],5,FALSE),"")</f>
        <v>10</v>
      </c>
      <c r="H14" s="21">
        <f>IFERROR(VLOOKUP(listeInventaire[[#This Row],[Référence]],listeProduits[],6,FALSE),"")</f>
        <v>0</v>
      </c>
      <c r="I14" s="21">
        <f>SUMIF(listeAchats[Référence],listeInventaire[[#This Row],[Référence]],listeAchats[Quantité])</f>
        <v>60</v>
      </c>
      <c r="J14" s="21">
        <f>SUMIF(listeVentes[Référence],listeInventaire[[#This Row],[Référence]],listeVentes[Quantité])</f>
        <v>60</v>
      </c>
      <c r="K14" s="21">
        <f>IFERROR(listeInventaire[[#This Row],[Stock initial]]+listeInventaire[[#This Row],[Entrées]]-listeInventaire[[#This Row],[Sorties]],"")</f>
        <v>0</v>
      </c>
      <c r="L14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500</v>
      </c>
      <c r="M14" s="20">
        <f>IFERROR(listeInventaire[[#This Row],[Stock final]]*listeInventaire[[#This Row],[CUMP]],"")</f>
        <v>0</v>
      </c>
      <c r="N14" s="19" t="str">
        <f>IF(listeInventaire[[#This Row],[Stock final]]&gt;listeInventaire[[#This Row],[Seuil d''alerte]],"Stock normal",IF(listeInventaire[[#This Row],[Stock final]]=0,"Non disponible","Stock faible"))</f>
        <v>Non disponible</v>
      </c>
      <c r="O14" s="2"/>
    </row>
    <row r="15" spans="1:19" ht="19.95" customHeight="1">
      <c r="B15" s="2"/>
      <c r="C15" s="46" t="s">
        <v>35</v>
      </c>
      <c r="D15" s="19" t="str">
        <f>IFERROR(VLOOKUP(listeInventaire[[#This Row],[Référence]],listeProduits[],2,FALSE),"")</f>
        <v xml:space="preserve">PLAYSTATION PS5 </v>
      </c>
      <c r="E15" s="19" t="str">
        <f>IFERROR(VLOOKUP(listeInventaire[[#This Row],[Référence]],listeProduits[],3,FALSE),"")</f>
        <v>Consoles</v>
      </c>
      <c r="F15" s="19" t="str">
        <f>IFERROR(VLOOKUP(listeInventaire[[#This Row],[Référence]],listeProduits[],4,FALSE),"")</f>
        <v>1 unité</v>
      </c>
      <c r="G15" s="21">
        <f>IFERROR(VLOOKUP(listeInventaire[[#This Row],[Référence]],listeProduits[],5,FALSE),"")</f>
        <v>10</v>
      </c>
      <c r="H15" s="21">
        <f>IFERROR(VLOOKUP(listeInventaire[[#This Row],[Référence]],listeProduits[],6,FALSE),"")</f>
        <v>3</v>
      </c>
      <c r="I15" s="21">
        <f>SUMIF(listeAchats[Référence],listeInventaire[[#This Row],[Référence]],listeAchats[Quantité])</f>
        <v>50</v>
      </c>
      <c r="J15" s="21">
        <f>SUMIF(listeVentes[Référence],listeInventaire[[#This Row],[Référence]],listeVentes[Quantité])</f>
        <v>40</v>
      </c>
      <c r="K15" s="21">
        <f>IFERROR(listeInventaire[[#This Row],[Stock initial]]+listeInventaire[[#This Row],[Entrées]]-listeInventaire[[#This Row],[Sorties]],"")</f>
        <v>13</v>
      </c>
      <c r="L15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751.88679245283015</v>
      </c>
      <c r="M15" s="20">
        <f>IFERROR(listeInventaire[[#This Row],[Stock final]]*listeInventaire[[#This Row],[CUMP]],"")</f>
        <v>9774.5283018867922</v>
      </c>
      <c r="N15" s="19" t="str">
        <f>IF(listeInventaire[[#This Row],[Stock final]]&gt;listeInventaire[[#This Row],[Seuil d''alerte]],"Stock normal",IF(listeInventaire[[#This Row],[Stock final]]=0,"Non disponible","Stock faible"))</f>
        <v>Stock normal</v>
      </c>
      <c r="O15" s="2"/>
    </row>
    <row r="16" spans="1:19" ht="19.95" customHeight="1">
      <c r="B16" s="2"/>
      <c r="C16" s="24" t="s">
        <v>36</v>
      </c>
      <c r="D16" s="19" t="str">
        <f>IFERROR(VLOOKUP(listeInventaire[[#This Row],[Référence]],listeProduits[],2,FALSE),"")</f>
        <v>NINTENDO SWITCH</v>
      </c>
      <c r="E16" s="19" t="str">
        <f>IFERROR(VLOOKUP(listeInventaire[[#This Row],[Référence]],listeProduits[],3,FALSE),"")</f>
        <v>Consoles</v>
      </c>
      <c r="F16" s="19" t="str">
        <f>IFERROR(VLOOKUP(listeInventaire[[#This Row],[Référence]],listeProduits[],4,FALSE),"")</f>
        <v>1 unité</v>
      </c>
      <c r="G16" s="21">
        <f>IFERROR(VLOOKUP(listeInventaire[[#This Row],[Référence]],listeProduits[],5,FALSE),"")</f>
        <v>10</v>
      </c>
      <c r="H16" s="21">
        <f>IFERROR(VLOOKUP(listeInventaire[[#This Row],[Référence]],listeProduits[],6,FALSE),"")</f>
        <v>6</v>
      </c>
      <c r="I16" s="21">
        <f>SUMIF(listeAchats[Référence],listeInventaire[[#This Row],[Référence]],listeAchats[Quantité])</f>
        <v>40</v>
      </c>
      <c r="J16" s="21">
        <f>SUMIF(listeVentes[Référence],listeInventaire[[#This Row],[Référence]],listeVentes[Quantité])</f>
        <v>44</v>
      </c>
      <c r="K16" s="21">
        <f>IFERROR(listeInventaire[[#This Row],[Stock initial]]+listeInventaire[[#This Row],[Entrées]]-listeInventaire[[#This Row],[Sorties]],"")</f>
        <v>2</v>
      </c>
      <c r="L16" s="20">
        <f>IFERROR((VLOOKUP(listeInventaire[[#This Row],[Référence]],listeProduits[],8,FALSE)+SUMIF(listeAchats[Référence],listeInventaire[[#This Row],[Référence]],listeAchats[Total]))/(VLOOKUP(listeInventaire[[#This Row],[Référence]],listeProduits[],6,FALSE)+SUMIF(listeAchats[Référence],listeInventaire[[#This Row],[Référence]],listeAchats[Quantité])),"")</f>
        <v>407.06521739130437</v>
      </c>
      <c r="M16" s="20">
        <f>IFERROR(listeInventaire[[#This Row],[Stock final]]*listeInventaire[[#This Row],[CUMP]],"")</f>
        <v>814.13043478260875</v>
      </c>
      <c r="N16" s="19" t="str">
        <f>IF(listeInventaire[[#This Row],[Stock final]]&gt;listeInventaire[[#This Row],[Seuil d''alerte]],"Stock normal",IF(listeInventaire[[#This Row],[Stock final]]=0,"Non disponible","Stock faible"))</f>
        <v>Stock faible</v>
      </c>
      <c r="O16" s="2"/>
    </row>
    <row r="17" spans="2:1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</row>
    <row r="18" spans="2:1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2:1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</row>
    <row r="20" spans="2:1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</row>
  </sheetData>
  <mergeCells count="3">
    <mergeCell ref="H3:I3"/>
    <mergeCell ref="H4:J4"/>
    <mergeCell ref="C3:D4"/>
  </mergeCells>
  <phoneticPr fontId="14" type="noConversion"/>
  <conditionalFormatting sqref="N6:N16">
    <cfRule type="containsText" dxfId="3" priority="1" operator="containsText" text="Stock faible">
      <formula>NOT(ISERROR(SEARCH("Stock faible",N6)))</formula>
    </cfRule>
    <cfRule type="containsText" dxfId="2" priority="2" operator="containsText" text="Stock normal">
      <formula>NOT(ISERROR(SEARCH("Stock normal",N6)))</formula>
    </cfRule>
    <cfRule type="containsText" dxfId="1" priority="3" operator="containsText" text="Non disponible">
      <formula>NOT(ISERROR(SEARCH("Non disponible",N6)))</formula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92E3B-D05E-457A-809B-33CB694D052F}">
  <sheetPr codeName="Feuil2"/>
  <dimension ref="A1:H100"/>
  <sheetViews>
    <sheetView topLeftCell="A61" zoomScale="80" zoomScaleNormal="80" workbookViewId="0">
      <selection activeCell="D57" sqref="D57"/>
    </sheetView>
  </sheetViews>
  <sheetFormatPr baseColWidth="10" defaultRowHeight="14.4"/>
  <cols>
    <col min="1" max="1" width="19.15625" bestFit="1" customWidth="1"/>
    <col min="2" max="2" width="13.7890625" bestFit="1" customWidth="1"/>
    <col min="3" max="3" width="14.7890625" bestFit="1" customWidth="1"/>
    <col min="4" max="4" width="21.20703125" customWidth="1"/>
    <col min="5" max="5" width="10.41796875" customWidth="1"/>
    <col min="7" max="7" width="11.578125" customWidth="1"/>
  </cols>
  <sheetData>
    <row r="1" spans="1:8">
      <c r="A1" t="s">
        <v>67</v>
      </c>
      <c r="B1" t="s">
        <v>68</v>
      </c>
      <c r="D1" t="s">
        <v>71</v>
      </c>
      <c r="F1" t="s">
        <v>72</v>
      </c>
      <c r="H1" t="s">
        <v>73</v>
      </c>
    </row>
    <row r="2" spans="1:8">
      <c r="A2" s="57">
        <v>366</v>
      </c>
      <c r="B2" s="48">
        <v>54852.093974764633</v>
      </c>
      <c r="D2" t="s">
        <v>19</v>
      </c>
      <c r="F2" t="s">
        <v>55</v>
      </c>
      <c r="H2" t="s">
        <v>74</v>
      </c>
    </row>
    <row r="3" spans="1:8">
      <c r="D3" t="s">
        <v>60</v>
      </c>
      <c r="F3" t="s">
        <v>38</v>
      </c>
      <c r="H3" t="s">
        <v>75</v>
      </c>
    </row>
    <row r="4" spans="1:8">
      <c r="A4" t="s">
        <v>81</v>
      </c>
      <c r="B4" t="s">
        <v>70</v>
      </c>
      <c r="D4" t="s">
        <v>59</v>
      </c>
      <c r="F4" t="s">
        <v>41</v>
      </c>
      <c r="H4" t="s">
        <v>76</v>
      </c>
    </row>
    <row r="5" spans="1:8">
      <c r="A5" s="57">
        <v>992</v>
      </c>
      <c r="B5" s="48">
        <v>291428.95000000007</v>
      </c>
      <c r="D5" t="s">
        <v>58</v>
      </c>
      <c r="F5" t="s">
        <v>40</v>
      </c>
      <c r="H5" t="s">
        <v>77</v>
      </c>
    </row>
    <row r="6" spans="1:8">
      <c r="F6" t="s">
        <v>39</v>
      </c>
      <c r="H6" t="s">
        <v>78</v>
      </c>
    </row>
    <row r="7" spans="1:8">
      <c r="A7" t="s">
        <v>82</v>
      </c>
      <c r="B7" t="s">
        <v>70</v>
      </c>
      <c r="F7" t="s">
        <v>36</v>
      </c>
    </row>
    <row r="8" spans="1:8">
      <c r="A8" s="57">
        <v>702</v>
      </c>
      <c r="B8" s="48">
        <v>297931</v>
      </c>
      <c r="F8" t="s">
        <v>35</v>
      </c>
    </row>
    <row r="9" spans="1:8">
      <c r="B9" s="48"/>
      <c r="F9" t="s">
        <v>53</v>
      </c>
    </row>
    <row r="10" spans="1:8">
      <c r="A10" s="49" t="s">
        <v>88</v>
      </c>
      <c r="B10" t="s">
        <v>67</v>
      </c>
      <c r="F10" t="s">
        <v>52</v>
      </c>
    </row>
    <row r="11" spans="1:8">
      <c r="A11" s="50" t="s">
        <v>79</v>
      </c>
      <c r="B11" s="57">
        <v>254</v>
      </c>
      <c r="F11" t="s">
        <v>56</v>
      </c>
    </row>
    <row r="12" spans="1:8">
      <c r="A12" s="50" t="s">
        <v>59</v>
      </c>
      <c r="B12" s="57">
        <v>15</v>
      </c>
      <c r="F12" t="s">
        <v>54</v>
      </c>
    </row>
    <row r="13" spans="1:8">
      <c r="A13" s="50" t="s">
        <v>60</v>
      </c>
      <c r="B13" s="57">
        <v>70</v>
      </c>
    </row>
    <row r="14" spans="1:8">
      <c r="A14" s="50" t="s">
        <v>58</v>
      </c>
      <c r="B14" s="57">
        <v>27</v>
      </c>
    </row>
    <row r="15" spans="1:8">
      <c r="A15" s="50" t="s">
        <v>80</v>
      </c>
      <c r="B15" s="57">
        <v>366</v>
      </c>
    </row>
    <row r="17" spans="1:2">
      <c r="A17" s="49" t="s">
        <v>87</v>
      </c>
      <c r="B17" t="s">
        <v>68</v>
      </c>
    </row>
    <row r="18" spans="1:2">
      <c r="A18" s="50" t="s">
        <v>79</v>
      </c>
      <c r="B18" s="51">
        <v>721.43523809523811</v>
      </c>
    </row>
    <row r="19" spans="1:2">
      <c r="A19" s="50" t="s">
        <v>59</v>
      </c>
      <c r="B19" s="51">
        <v>10588.6587366694</v>
      </c>
    </row>
    <row r="20" spans="1:2">
      <c r="A20" s="50" t="s">
        <v>60</v>
      </c>
      <c r="B20" s="51">
        <v>17750</v>
      </c>
    </row>
    <row r="21" spans="1:2">
      <c r="A21" s="50" t="s">
        <v>58</v>
      </c>
      <c r="B21" s="51">
        <v>25792</v>
      </c>
    </row>
    <row r="22" spans="1:2">
      <c r="A22" s="50" t="s">
        <v>80</v>
      </c>
      <c r="B22" s="51">
        <v>54852.093974764633</v>
      </c>
    </row>
    <row r="23" spans="1:2">
      <c r="A23" s="50"/>
    </row>
    <row r="24" spans="1:2">
      <c r="A24" s="49" t="s">
        <v>83</v>
      </c>
      <c r="B24" t="s">
        <v>69</v>
      </c>
    </row>
    <row r="25" spans="1:2">
      <c r="A25" s="50" t="s">
        <v>79</v>
      </c>
      <c r="B25" s="57">
        <v>562</v>
      </c>
    </row>
    <row r="26" spans="1:2">
      <c r="A26" s="50" t="s">
        <v>59</v>
      </c>
      <c r="B26" s="57">
        <v>90</v>
      </c>
    </row>
    <row r="27" spans="1:2">
      <c r="A27" s="50" t="s">
        <v>60</v>
      </c>
      <c r="B27" s="57">
        <v>189</v>
      </c>
    </row>
    <row r="28" spans="1:2">
      <c r="A28" s="50" t="s">
        <v>58</v>
      </c>
      <c r="B28" s="57">
        <v>151</v>
      </c>
    </row>
    <row r="29" spans="1:2">
      <c r="A29" s="50" t="s">
        <v>80</v>
      </c>
      <c r="B29" s="57">
        <v>992</v>
      </c>
    </row>
    <row r="31" spans="1:2">
      <c r="A31" s="49" t="s">
        <v>86</v>
      </c>
      <c r="B31" t="s">
        <v>70</v>
      </c>
    </row>
    <row r="32" spans="1:2">
      <c r="A32" s="50" t="s">
        <v>79</v>
      </c>
      <c r="B32" s="51">
        <v>1593.9500000000003</v>
      </c>
    </row>
    <row r="33" spans="1:2">
      <c r="A33" s="50" t="s">
        <v>59</v>
      </c>
      <c r="B33" s="51">
        <v>53925</v>
      </c>
    </row>
    <row r="34" spans="1:2">
      <c r="A34" s="50" t="s">
        <v>60</v>
      </c>
      <c r="B34" s="51">
        <v>68550</v>
      </c>
    </row>
    <row r="35" spans="1:2">
      <c r="A35" s="50" t="s">
        <v>58</v>
      </c>
      <c r="B35" s="51">
        <v>167360</v>
      </c>
    </row>
    <row r="36" spans="1:2">
      <c r="A36" s="50" t="s">
        <v>80</v>
      </c>
      <c r="B36" s="51">
        <v>291428.95000000007</v>
      </c>
    </row>
    <row r="38" spans="1:2">
      <c r="A38" s="49" t="s">
        <v>84</v>
      </c>
      <c r="B38" t="s">
        <v>69</v>
      </c>
    </row>
    <row r="39" spans="1:2">
      <c r="A39" s="50" t="s">
        <v>79</v>
      </c>
      <c r="B39" s="57">
        <v>338</v>
      </c>
    </row>
    <row r="40" spans="1:2">
      <c r="A40" s="50" t="s">
        <v>59</v>
      </c>
      <c r="B40" s="57">
        <v>84</v>
      </c>
    </row>
    <row r="41" spans="1:2">
      <c r="A41" s="50" t="s">
        <v>60</v>
      </c>
      <c r="B41" s="57">
        <v>133</v>
      </c>
    </row>
    <row r="42" spans="1:2">
      <c r="A42" s="50" t="s">
        <v>58</v>
      </c>
      <c r="B42" s="57">
        <v>147</v>
      </c>
    </row>
    <row r="43" spans="1:2">
      <c r="A43" s="50" t="s">
        <v>80</v>
      </c>
      <c r="B43" s="57">
        <v>702</v>
      </c>
    </row>
    <row r="45" spans="1:2">
      <c r="A45" s="49" t="s">
        <v>85</v>
      </c>
      <c r="B45" t="s">
        <v>70</v>
      </c>
    </row>
    <row r="46" spans="1:2">
      <c r="A46" s="50" t="s">
        <v>79</v>
      </c>
      <c r="B46" s="51">
        <v>1141</v>
      </c>
    </row>
    <row r="47" spans="1:2">
      <c r="A47" s="50" t="s">
        <v>59</v>
      </c>
      <c r="B47" s="51">
        <v>57320</v>
      </c>
    </row>
    <row r="48" spans="1:2">
      <c r="A48" s="50" t="s">
        <v>60</v>
      </c>
      <c r="B48" s="51">
        <v>67960</v>
      </c>
    </row>
    <row r="49" spans="1:7">
      <c r="A49" s="50" t="s">
        <v>58</v>
      </c>
      <c r="B49" s="51">
        <v>171510</v>
      </c>
    </row>
    <row r="50" spans="1:7">
      <c r="A50" s="50" t="s">
        <v>80</v>
      </c>
      <c r="B50" s="51">
        <v>297931</v>
      </c>
    </row>
    <row r="51" spans="1:7">
      <c r="B51" s="51"/>
    </row>
    <row r="52" spans="1:7">
      <c r="A52" s="49" t="s">
        <v>94</v>
      </c>
      <c r="B52" t="s">
        <v>69</v>
      </c>
      <c r="G52" t="s">
        <v>95</v>
      </c>
    </row>
    <row r="53" spans="1:7">
      <c r="A53" s="50" t="s">
        <v>89</v>
      </c>
      <c r="B53" s="57">
        <v>137</v>
      </c>
      <c r="E53" t="s">
        <v>89</v>
      </c>
      <c r="F53">
        <f t="shared" ref="F53:F57" si="0">VLOOKUP(E53,A53:B57,2,FALSE)</f>
        <v>137</v>
      </c>
      <c r="G53" t="str">
        <f>IF(F53=MAX(B53:B57),F53,"")</f>
        <v/>
      </c>
    </row>
    <row r="54" spans="1:7">
      <c r="A54" s="50" t="s">
        <v>90</v>
      </c>
      <c r="B54" s="57">
        <v>184</v>
      </c>
      <c r="E54" t="s">
        <v>90</v>
      </c>
      <c r="F54">
        <f t="shared" si="0"/>
        <v>184</v>
      </c>
      <c r="G54" t="str">
        <f t="shared" ref="G54:G57" si="1">IF(F54=MAX(F54:F58),F54,"")</f>
        <v/>
      </c>
    </row>
    <row r="55" spans="1:7">
      <c r="A55" s="50" t="s">
        <v>91</v>
      </c>
      <c r="B55" s="57">
        <v>142</v>
      </c>
      <c r="E55" t="s">
        <v>91</v>
      </c>
      <c r="F55">
        <f t="shared" si="0"/>
        <v>142</v>
      </c>
      <c r="G55" t="str">
        <f t="shared" si="1"/>
        <v/>
      </c>
    </row>
    <row r="56" spans="1:7">
      <c r="A56" s="50" t="s">
        <v>92</v>
      </c>
      <c r="B56" s="57">
        <v>106</v>
      </c>
      <c r="E56" t="s">
        <v>92</v>
      </c>
      <c r="F56">
        <f t="shared" si="0"/>
        <v>106</v>
      </c>
      <c r="G56" t="str">
        <f t="shared" si="1"/>
        <v/>
      </c>
    </row>
    <row r="57" spans="1:7">
      <c r="A57" s="50" t="s">
        <v>93</v>
      </c>
      <c r="B57" s="57">
        <v>423</v>
      </c>
      <c r="E57" t="s">
        <v>93</v>
      </c>
      <c r="F57">
        <f t="shared" si="0"/>
        <v>423</v>
      </c>
      <c r="G57">
        <f t="shared" si="1"/>
        <v>423</v>
      </c>
    </row>
    <row r="58" spans="1:7">
      <c r="A58" s="50" t="s">
        <v>80</v>
      </c>
      <c r="B58" s="57">
        <v>992</v>
      </c>
    </row>
    <row r="60" spans="1:7">
      <c r="A60" s="49" t="s">
        <v>102</v>
      </c>
      <c r="B60" t="s">
        <v>69</v>
      </c>
      <c r="G60" t="s">
        <v>95</v>
      </c>
    </row>
    <row r="61" spans="1:7">
      <c r="A61" s="50" t="s">
        <v>89</v>
      </c>
      <c r="B61" s="57">
        <v>71</v>
      </c>
      <c r="E61" t="s">
        <v>89</v>
      </c>
      <c r="F61">
        <f>VLOOKUP(E61,A61:B65,2,FALSE)</f>
        <v>71</v>
      </c>
      <c r="G61" t="str">
        <f>IF(F61=MAX(B61:B65),F61,"")</f>
        <v/>
      </c>
    </row>
    <row r="62" spans="1:7">
      <c r="A62" s="50" t="s">
        <v>90</v>
      </c>
      <c r="B62" s="57">
        <v>100</v>
      </c>
      <c r="E62" t="s">
        <v>90</v>
      </c>
      <c r="F62">
        <f t="shared" ref="F62:F65" si="2">VLOOKUP(E62,A62:B66,2,FALSE)</f>
        <v>100</v>
      </c>
      <c r="G62" t="str">
        <f>IF(F62=MAX(B61:B65),F62,"")</f>
        <v/>
      </c>
    </row>
    <row r="63" spans="1:7">
      <c r="A63" s="50" t="s">
        <v>91</v>
      </c>
      <c r="B63" s="57">
        <v>187</v>
      </c>
      <c r="E63" t="s">
        <v>91</v>
      </c>
      <c r="F63">
        <f t="shared" si="2"/>
        <v>187</v>
      </c>
      <c r="G63" t="str">
        <f>IF(F63=MAX(B61:B65),F63,"")</f>
        <v/>
      </c>
    </row>
    <row r="64" spans="1:7">
      <c r="A64" s="50" t="s">
        <v>92</v>
      </c>
      <c r="B64" s="57">
        <v>253</v>
      </c>
      <c r="E64" t="s">
        <v>92</v>
      </c>
      <c r="F64">
        <f t="shared" si="2"/>
        <v>253</v>
      </c>
      <c r="G64">
        <f>IF(F64=MAX(B61:B65),F64,"")</f>
        <v>253</v>
      </c>
    </row>
    <row r="65" spans="1:7">
      <c r="A65" s="50" t="s">
        <v>93</v>
      </c>
      <c r="B65" s="57">
        <v>91</v>
      </c>
      <c r="E65" t="s">
        <v>93</v>
      </c>
      <c r="F65">
        <f t="shared" si="2"/>
        <v>91</v>
      </c>
      <c r="G65" t="str">
        <f>IF(F65=MAX(B61:B65),F65,"")</f>
        <v/>
      </c>
    </row>
    <row r="66" spans="1:7">
      <c r="A66" s="50" t="s">
        <v>80</v>
      </c>
      <c r="B66" s="57">
        <v>702</v>
      </c>
    </row>
    <row r="68" spans="1:7">
      <c r="A68" s="49" t="s">
        <v>98</v>
      </c>
      <c r="B68" t="s">
        <v>70</v>
      </c>
      <c r="C68" t="s">
        <v>97</v>
      </c>
    </row>
    <row r="69" spans="1:7">
      <c r="A69" s="50" t="s">
        <v>89</v>
      </c>
      <c r="B69" s="51">
        <v>51548</v>
      </c>
      <c r="C69" s="51">
        <v>51548</v>
      </c>
    </row>
    <row r="70" spans="1:7">
      <c r="A70" s="50" t="s">
        <v>90</v>
      </c>
      <c r="B70" s="51">
        <v>76664.399999999994</v>
      </c>
      <c r="C70" s="51">
        <v>76664.399999999994</v>
      </c>
    </row>
    <row r="71" spans="1:7">
      <c r="A71" s="50" t="s">
        <v>91</v>
      </c>
      <c r="B71" s="51">
        <v>38248</v>
      </c>
      <c r="C71" s="51">
        <v>38248</v>
      </c>
    </row>
    <row r="72" spans="1:7">
      <c r="A72" s="50" t="s">
        <v>92</v>
      </c>
      <c r="B72" s="51">
        <v>48081.15</v>
      </c>
      <c r="C72" s="51">
        <v>48081.15</v>
      </c>
    </row>
    <row r="73" spans="1:7">
      <c r="A73" s="50" t="s">
        <v>93</v>
      </c>
      <c r="B73" s="51">
        <v>76887.399999999994</v>
      </c>
      <c r="C73" s="51">
        <v>76887.399999999994</v>
      </c>
    </row>
    <row r="74" spans="1:7">
      <c r="A74" s="50" t="s">
        <v>80</v>
      </c>
      <c r="B74" s="51">
        <v>291428.95000000007</v>
      </c>
      <c r="C74" s="51">
        <v>291428.95000000007</v>
      </c>
    </row>
    <row r="76" spans="1:7">
      <c r="A76" s="49" t="s">
        <v>99</v>
      </c>
      <c r="B76" t="s">
        <v>70</v>
      </c>
      <c r="C76" t="s">
        <v>97</v>
      </c>
    </row>
    <row r="77" spans="1:7">
      <c r="A77" s="50" t="s">
        <v>89</v>
      </c>
      <c r="B77" s="51">
        <v>38385.299999999996</v>
      </c>
      <c r="C77" s="51">
        <v>38385.299999999996</v>
      </c>
    </row>
    <row r="78" spans="1:7">
      <c r="A78" s="50" t="s">
        <v>90</v>
      </c>
      <c r="B78" s="51">
        <v>60319.5</v>
      </c>
      <c r="C78" s="51">
        <v>60319.5</v>
      </c>
    </row>
    <row r="79" spans="1:7">
      <c r="A79" s="50" t="s">
        <v>91</v>
      </c>
      <c r="B79" s="51">
        <v>69065</v>
      </c>
      <c r="C79" s="51">
        <v>69065</v>
      </c>
    </row>
    <row r="80" spans="1:7">
      <c r="A80" s="50" t="s">
        <v>92</v>
      </c>
      <c r="B80" s="51">
        <v>74985</v>
      </c>
      <c r="C80" s="51">
        <v>74985</v>
      </c>
    </row>
    <row r="81" spans="1:3">
      <c r="A81" s="50" t="s">
        <v>93</v>
      </c>
      <c r="B81" s="51">
        <v>55176.2</v>
      </c>
      <c r="C81" s="51">
        <v>55176.2</v>
      </c>
    </row>
    <row r="82" spans="1:3">
      <c r="A82" s="50" t="s">
        <v>80</v>
      </c>
      <c r="B82" s="51">
        <v>297931</v>
      </c>
      <c r="C82" s="51">
        <v>297931</v>
      </c>
    </row>
    <row r="84" spans="1:3">
      <c r="A84" s="49" t="s">
        <v>100</v>
      </c>
      <c r="B84" t="s">
        <v>70</v>
      </c>
    </row>
    <row r="85" spans="1:3">
      <c r="A85" s="50" t="s">
        <v>61</v>
      </c>
      <c r="B85" s="51">
        <v>35400</v>
      </c>
    </row>
    <row r="86" spans="1:3">
      <c r="A86" s="50" t="s">
        <v>51</v>
      </c>
      <c r="B86" s="51">
        <v>42010</v>
      </c>
    </row>
    <row r="87" spans="1:3">
      <c r="A87" s="50" t="s">
        <v>66</v>
      </c>
      <c r="B87" s="51">
        <v>129500</v>
      </c>
    </row>
    <row r="88" spans="1:3">
      <c r="A88" s="50" t="s">
        <v>80</v>
      </c>
      <c r="B88" s="51">
        <v>206910</v>
      </c>
    </row>
    <row r="94" spans="1:3">
      <c r="A94" s="49" t="s">
        <v>16</v>
      </c>
      <c r="B94" t="s">
        <v>101</v>
      </c>
    </row>
    <row r="96" spans="1:3">
      <c r="A96" s="49" t="s">
        <v>96</v>
      </c>
      <c r="B96" t="s">
        <v>67</v>
      </c>
    </row>
    <row r="97" spans="1:6">
      <c r="A97" s="50" t="s">
        <v>61</v>
      </c>
      <c r="B97" s="57">
        <v>0</v>
      </c>
      <c r="D97" s="50" t="s">
        <v>61</v>
      </c>
      <c r="E97">
        <f>VLOOKUP(D97,A97:B99,2,FALSE)</f>
        <v>0</v>
      </c>
      <c r="F97" t="str">
        <f>IF(E97=0,"Indisponible","Stock Faible")</f>
        <v>Indisponible</v>
      </c>
    </row>
    <row r="98" spans="1:6">
      <c r="A98" s="50" t="s">
        <v>50</v>
      </c>
      <c r="B98" s="57">
        <v>2</v>
      </c>
      <c r="D98" s="50" t="s">
        <v>50</v>
      </c>
      <c r="E98">
        <f t="shared" ref="E98:E99" si="3">VLOOKUP(D98,A98:B100,2,FALSE)</f>
        <v>2</v>
      </c>
      <c r="F98" t="str">
        <f t="shared" ref="F98:F99" si="4">IF(E98=0,"Indisponible","Stock Faible")</f>
        <v>Stock Faible</v>
      </c>
    </row>
    <row r="99" spans="1:6">
      <c r="A99" s="50" t="s">
        <v>64</v>
      </c>
      <c r="B99" s="57">
        <v>8</v>
      </c>
      <c r="D99" s="50" t="s">
        <v>64</v>
      </c>
      <c r="E99">
        <f t="shared" si="3"/>
        <v>8</v>
      </c>
      <c r="F99" t="str">
        <f t="shared" si="4"/>
        <v>Stock Faible</v>
      </c>
    </row>
    <row r="100" spans="1:6">
      <c r="A100" s="50" t="s">
        <v>80</v>
      </c>
      <c r="B100" s="57">
        <v>10</v>
      </c>
    </row>
  </sheetData>
  <phoneticPr fontId="14" type="noConversion"/>
  <pageMargins left="0.7" right="0.7" top="0.75" bottom="0.75" header="0.3" footer="0.3"/>
  <drawing r:id="rId16"/>
  <tableParts count="3">
    <tablePart r:id="rId17"/>
    <tablePart r:id="rId18"/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F1386F5-9FF7-4D23-B53A-FEEFBA46DB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Tableau de bord</vt:lpstr>
      <vt:lpstr>Opérations</vt:lpstr>
      <vt:lpstr>Marchandises</vt:lpstr>
      <vt:lpstr>Entrées</vt:lpstr>
      <vt:lpstr>Sorties</vt:lpstr>
      <vt:lpstr>Inventaire </vt:lpstr>
      <vt:lpstr>Traitement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Hassan Bahi</dc:creator>
  <cp:lastModifiedBy>Mama Ndiaye</cp:lastModifiedBy>
  <dcterms:created xsi:type="dcterms:W3CDTF">2015-06-05T18:19:34Z</dcterms:created>
  <dcterms:modified xsi:type="dcterms:W3CDTF">2023-11-27T08:32:13Z</dcterms:modified>
</cp:coreProperties>
</file>